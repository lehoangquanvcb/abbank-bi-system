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ABB\ABBank_BI_System_Package\"/>
    </mc:Choice>
  </mc:AlternateContent>
  <xr:revisionPtr revIDLastSave="0" documentId="13_ncr:1_{52FED827-2187-4492-86D5-F1CFE439825E}" xr6:coauthVersionLast="47" xr6:coauthVersionMax="47" xr10:uidLastSave="{00000000-0000-0000-0000-000000000000}"/>
  <bookViews>
    <workbookView xWindow="-120" yWindow="-120" windowWidth="29040" windowHeight="16440" firstSheet="14" activeTab="20" xr2:uid="{00000000-000D-0000-FFFF-FFFF00000000}"/>
  </bookViews>
  <sheets>
    <sheet name="README" sheetId="1" r:id="rId1"/>
    <sheet name="CONFIG" sheetId="2" r:id="rId2"/>
    <sheet name="SOURCES" sheetId="3" r:id="rId3"/>
    <sheet name="INPUT_MACRO" sheetId="4" r:id="rId4"/>
    <sheet name="INPUT_INDUSTRY" sheetId="5" r:id="rId5"/>
    <sheet name="INPUT_ABBANK" sheetId="6" r:id="rId6"/>
    <sheet name="INPUT_TREASURY" sheetId="7" r:id="rId7"/>
    <sheet name="INPUT_SCENARIO" sheetId="8" r:id="rId8"/>
    <sheet name="PROC_MACRO" sheetId="9" r:id="rId9"/>
    <sheet name="PROC_ABBANK" sheetId="10" r:id="rId10"/>
    <sheet name="PROC_TREASURY" sheetId="11" r:id="rId11"/>
    <sheet name="PROC_SIGNAL" sheetId="12" r:id="rId12"/>
    <sheet name="PROC_RECOMMENDATION" sheetId="13" r:id="rId13"/>
    <sheet name="DASH_EXECUTIVE" sheetId="14" r:id="rId14"/>
    <sheet name="DASH_MACRO" sheetId="15" r:id="rId15"/>
    <sheet name="DASH_ABBANK" sheetId="16" r:id="rId16"/>
    <sheet name="DASH_TREASURY" sheetId="17" r:id="rId17"/>
    <sheet name="DASH_FORECAST" sheetId="18" r:id="rId18"/>
    <sheet name="DASH_STRATEGY" sheetId="19" r:id="rId19"/>
    <sheet name="CEO_BRIEF" sheetId="20" r:id="rId20"/>
    <sheet name="FORECAST_HISTORY" sheetId="21" r:id="rId21"/>
    <sheet name="ALERT_LOG" sheetId="22" r:id="rId22"/>
  </sheets>
  <calcPr calcId="191029"/>
</workbook>
</file>

<file path=xl/calcChain.xml><?xml version="1.0" encoding="utf-8"?>
<calcChain xmlns="http://schemas.openxmlformats.org/spreadsheetml/2006/main">
  <c r="B8" i="20" l="1"/>
  <c r="B7" i="20"/>
  <c r="E8" i="19"/>
  <c r="D8" i="19"/>
  <c r="C8" i="19"/>
  <c r="B8" i="19"/>
  <c r="A8" i="19"/>
  <c r="E7" i="19"/>
  <c r="D7" i="19"/>
  <c r="C7" i="19"/>
  <c r="B7" i="19"/>
  <c r="A7" i="19"/>
  <c r="E6" i="19"/>
  <c r="D6" i="19"/>
  <c r="C6" i="19"/>
  <c r="B6" i="19"/>
  <c r="A6" i="19"/>
  <c r="E5" i="19"/>
  <c r="D5" i="19"/>
  <c r="C5" i="19"/>
  <c r="B5" i="19"/>
  <c r="A5" i="19"/>
  <c r="E4" i="19"/>
  <c r="D4" i="19"/>
  <c r="C4" i="19"/>
  <c r="B4" i="19"/>
  <c r="A4" i="19"/>
  <c r="C15" i="17"/>
  <c r="C14" i="17"/>
  <c r="C12" i="17"/>
  <c r="B12" i="17"/>
  <c r="C11" i="17"/>
  <c r="C10" i="17"/>
  <c r="B10" i="17"/>
  <c r="C8" i="17"/>
  <c r="B8" i="17"/>
  <c r="C7" i="17"/>
  <c r="C6" i="17"/>
  <c r="F4" i="17"/>
  <c r="C4" i="17"/>
  <c r="B4" i="17"/>
  <c r="C4" i="15"/>
  <c r="J9" i="14"/>
  <c r="I9" i="14"/>
  <c r="G9" i="14"/>
  <c r="J5" i="14"/>
  <c r="I5" i="14"/>
  <c r="G5" i="14"/>
  <c r="F8" i="12"/>
  <c r="B8" i="12"/>
  <c r="F7" i="12"/>
  <c r="B7" i="12"/>
  <c r="I8" i="14" s="1"/>
  <c r="F6" i="12"/>
  <c r="B6" i="12"/>
  <c r="F5" i="12"/>
  <c r="B5" i="12"/>
  <c r="J6" i="14" s="1"/>
  <c r="F4" i="12"/>
  <c r="B4" i="12"/>
  <c r="H67" i="11"/>
  <c r="G67" i="11"/>
  <c r="F67" i="11"/>
  <c r="F15" i="17" s="1"/>
  <c r="E67" i="11"/>
  <c r="E15" i="17" s="1"/>
  <c r="D67" i="11"/>
  <c r="C10" i="14" s="1"/>
  <c r="D10" i="14" s="1"/>
  <c r="C67" i="11"/>
  <c r="B67" i="11"/>
  <c r="B15" i="17" s="1"/>
  <c r="A67" i="11"/>
  <c r="A15" i="17" s="1"/>
  <c r="D66" i="11"/>
  <c r="C66" i="11"/>
  <c r="B66" i="11"/>
  <c r="B14" i="17" s="1"/>
  <c r="A66" i="11"/>
  <c r="A14" i="17" s="1"/>
  <c r="F65" i="11"/>
  <c r="D65" i="11"/>
  <c r="C65" i="11"/>
  <c r="C13" i="17" s="1"/>
  <c r="B65" i="11"/>
  <c r="B13" i="17" s="1"/>
  <c r="A65" i="11"/>
  <c r="A13" i="17" s="1"/>
  <c r="D64" i="11"/>
  <c r="C64" i="11"/>
  <c r="B64" i="11"/>
  <c r="A64" i="11"/>
  <c r="A12" i="17" s="1"/>
  <c r="G63" i="11"/>
  <c r="F63" i="11"/>
  <c r="F11" i="17" s="1"/>
  <c r="E63" i="11"/>
  <c r="E11" i="17" s="1"/>
  <c r="D63" i="11"/>
  <c r="D11" i="17" s="1"/>
  <c r="C63" i="11"/>
  <c r="B63" i="11"/>
  <c r="B11" i="17" s="1"/>
  <c r="A63" i="11"/>
  <c r="A11" i="17" s="1"/>
  <c r="D62" i="11"/>
  <c r="C62" i="11"/>
  <c r="B62" i="11"/>
  <c r="A62" i="11"/>
  <c r="A10" i="17" s="1"/>
  <c r="D61" i="11"/>
  <c r="C61" i="11"/>
  <c r="C9" i="17" s="1"/>
  <c r="B61" i="11"/>
  <c r="B9" i="17" s="1"/>
  <c r="A61" i="11"/>
  <c r="A9" i="17" s="1"/>
  <c r="H60" i="11"/>
  <c r="F60" i="11"/>
  <c r="F8" i="17" s="1"/>
  <c r="E60" i="11"/>
  <c r="D60" i="11"/>
  <c r="D8" i="17" s="1"/>
  <c r="C60" i="11"/>
  <c r="B60" i="11"/>
  <c r="A60" i="11"/>
  <c r="A8" i="17" s="1"/>
  <c r="G59" i="11"/>
  <c r="F59" i="11"/>
  <c r="E59" i="11"/>
  <c r="E7" i="17" s="1"/>
  <c r="D59" i="11"/>
  <c r="D7" i="17" s="1"/>
  <c r="C59" i="11"/>
  <c r="B59" i="11"/>
  <c r="B7" i="17" s="1"/>
  <c r="A59" i="11"/>
  <c r="A7" i="17" s="1"/>
  <c r="D58" i="11"/>
  <c r="C58" i="11"/>
  <c r="B58" i="11"/>
  <c r="B6" i="17" s="1"/>
  <c r="A58" i="11"/>
  <c r="A6" i="17" s="1"/>
  <c r="D57" i="11"/>
  <c r="C57" i="11"/>
  <c r="C5" i="17" s="1"/>
  <c r="B57" i="11"/>
  <c r="B5" i="17" s="1"/>
  <c r="A57" i="11"/>
  <c r="A5" i="17" s="1"/>
  <c r="F56" i="11"/>
  <c r="H56" i="11" s="1"/>
  <c r="E56" i="11"/>
  <c r="D56" i="11"/>
  <c r="D4" i="17" s="1"/>
  <c r="C56" i="11"/>
  <c r="B56" i="11"/>
  <c r="A56" i="11"/>
  <c r="A4" i="17" s="1"/>
  <c r="G55" i="11"/>
  <c r="F55" i="11"/>
  <c r="H55" i="11" s="1"/>
  <c r="E55" i="11"/>
  <c r="D55" i="11"/>
  <c r="C55" i="11"/>
  <c r="B55" i="11"/>
  <c r="A55" i="11"/>
  <c r="D54" i="11"/>
  <c r="C54" i="11"/>
  <c r="B54" i="11"/>
  <c r="A54" i="11"/>
  <c r="D53" i="11"/>
  <c r="C53" i="11"/>
  <c r="B53" i="11"/>
  <c r="A53" i="11"/>
  <c r="H52" i="11"/>
  <c r="E52" i="11"/>
  <c r="G52" i="11" s="1"/>
  <c r="D52" i="11"/>
  <c r="F52" i="11" s="1"/>
  <c r="C52" i="11"/>
  <c r="B52" i="11"/>
  <c r="A52" i="11"/>
  <c r="H51" i="11"/>
  <c r="G51" i="11"/>
  <c r="F51" i="11"/>
  <c r="E51" i="11"/>
  <c r="D51" i="11"/>
  <c r="C51" i="11"/>
  <c r="B51" i="11"/>
  <c r="A51" i="11"/>
  <c r="D50" i="11"/>
  <c r="C50" i="11"/>
  <c r="B50" i="11"/>
  <c r="A50" i="11"/>
  <c r="F49" i="11"/>
  <c r="H49" i="11" s="1"/>
  <c r="D49" i="11"/>
  <c r="E49" i="11" s="1"/>
  <c r="G49" i="11" s="1"/>
  <c r="C49" i="11"/>
  <c r="B49" i="11"/>
  <c r="A49" i="11"/>
  <c r="D48" i="11"/>
  <c r="C48" i="11"/>
  <c r="B48" i="11"/>
  <c r="A48" i="11"/>
  <c r="J47" i="11"/>
  <c r="H47" i="11"/>
  <c r="I47" i="11" s="1"/>
  <c r="G47" i="11"/>
  <c r="F47" i="11"/>
  <c r="E47" i="11"/>
  <c r="D47" i="11"/>
  <c r="C47" i="11"/>
  <c r="B47" i="11"/>
  <c r="A47" i="11"/>
  <c r="D46" i="11"/>
  <c r="C46" i="11"/>
  <c r="B46" i="11"/>
  <c r="A46" i="11"/>
  <c r="J45" i="11"/>
  <c r="F45" i="11"/>
  <c r="H45" i="11" s="1"/>
  <c r="I45" i="11" s="1"/>
  <c r="D45" i="11"/>
  <c r="E45" i="11" s="1"/>
  <c r="G45" i="11" s="1"/>
  <c r="C45" i="11"/>
  <c r="B45" i="11"/>
  <c r="A45" i="11"/>
  <c r="E44" i="11"/>
  <c r="G44" i="11" s="1"/>
  <c r="D44" i="11"/>
  <c r="F44" i="11" s="1"/>
  <c r="H44" i="11" s="1"/>
  <c r="C44" i="11"/>
  <c r="B44" i="11"/>
  <c r="A44" i="11"/>
  <c r="G43" i="11"/>
  <c r="F43" i="11"/>
  <c r="H43" i="11" s="1"/>
  <c r="E43" i="11"/>
  <c r="D43" i="11"/>
  <c r="C43" i="11"/>
  <c r="B43" i="11"/>
  <c r="A43" i="11"/>
  <c r="D42" i="11"/>
  <c r="C42" i="11"/>
  <c r="B42" i="11"/>
  <c r="A42" i="11"/>
  <c r="F41" i="11"/>
  <c r="H41" i="11" s="1"/>
  <c r="D41" i="11"/>
  <c r="E41" i="11" s="1"/>
  <c r="G41" i="11" s="1"/>
  <c r="C41" i="11"/>
  <c r="B41" i="11"/>
  <c r="A41" i="11"/>
  <c r="F40" i="11"/>
  <c r="H40" i="11" s="1"/>
  <c r="D40" i="11"/>
  <c r="E40" i="11" s="1"/>
  <c r="G40" i="11" s="1"/>
  <c r="C40" i="11"/>
  <c r="B40" i="11"/>
  <c r="A40" i="11"/>
  <c r="J39" i="11"/>
  <c r="H39" i="11"/>
  <c r="I39" i="11" s="1"/>
  <c r="G39" i="11"/>
  <c r="F39" i="11"/>
  <c r="E39" i="11"/>
  <c r="D39" i="11"/>
  <c r="C39" i="11"/>
  <c r="B39" i="11"/>
  <c r="A39" i="11"/>
  <c r="D38" i="11"/>
  <c r="C38" i="11"/>
  <c r="B38" i="11"/>
  <c r="A38" i="11"/>
  <c r="D37" i="11"/>
  <c r="C37" i="11"/>
  <c r="B37" i="11"/>
  <c r="A37" i="11"/>
  <c r="H36" i="11"/>
  <c r="F36" i="11"/>
  <c r="E36" i="11"/>
  <c r="G36" i="11" s="1"/>
  <c r="D36" i="11"/>
  <c r="C36" i="11"/>
  <c r="B36" i="11"/>
  <c r="A36" i="11"/>
  <c r="G35" i="11"/>
  <c r="F35" i="11"/>
  <c r="H35" i="11" s="1"/>
  <c r="E35" i="11"/>
  <c r="D35" i="11"/>
  <c r="C35" i="11"/>
  <c r="B35" i="11"/>
  <c r="A35" i="11"/>
  <c r="D34" i="11"/>
  <c r="C34" i="11"/>
  <c r="B34" i="11"/>
  <c r="A34" i="11"/>
  <c r="F33" i="11"/>
  <c r="H33" i="11" s="1"/>
  <c r="D33" i="11"/>
  <c r="E33" i="11" s="1"/>
  <c r="G33" i="11" s="1"/>
  <c r="C33" i="11"/>
  <c r="B33" i="11"/>
  <c r="A33" i="11"/>
  <c r="D32" i="11"/>
  <c r="C32" i="11"/>
  <c r="B32" i="11"/>
  <c r="A32" i="11"/>
  <c r="G31" i="11"/>
  <c r="F31" i="11"/>
  <c r="H31" i="11" s="1"/>
  <c r="I31" i="11" s="1"/>
  <c r="E31" i="11"/>
  <c r="D31" i="11"/>
  <c r="C31" i="11"/>
  <c r="B31" i="11"/>
  <c r="A31" i="11"/>
  <c r="D30" i="11"/>
  <c r="C30" i="11"/>
  <c r="B30" i="11"/>
  <c r="A30" i="11"/>
  <c r="D29" i="11"/>
  <c r="E29" i="11" s="1"/>
  <c r="G29" i="11" s="1"/>
  <c r="C29" i="11"/>
  <c r="B29" i="11"/>
  <c r="A29" i="11"/>
  <c r="H28" i="11"/>
  <c r="F28" i="11"/>
  <c r="E28" i="11"/>
  <c r="G28" i="11" s="1"/>
  <c r="D28" i="11"/>
  <c r="C28" i="11"/>
  <c r="B28" i="11"/>
  <c r="A28" i="11"/>
  <c r="G27" i="11"/>
  <c r="F27" i="11"/>
  <c r="H27" i="11" s="1"/>
  <c r="D27" i="11"/>
  <c r="E27" i="11" s="1"/>
  <c r="C27" i="11"/>
  <c r="B27" i="11"/>
  <c r="A27" i="11"/>
  <c r="D26" i="11"/>
  <c r="C26" i="11"/>
  <c r="B26" i="11"/>
  <c r="A26" i="11"/>
  <c r="D25" i="11"/>
  <c r="C25" i="11"/>
  <c r="B25" i="11"/>
  <c r="A25" i="11"/>
  <c r="E24" i="11"/>
  <c r="G24" i="11" s="1"/>
  <c r="D24" i="11"/>
  <c r="F24" i="11" s="1"/>
  <c r="H24" i="11" s="1"/>
  <c r="C24" i="11"/>
  <c r="B24" i="11"/>
  <c r="A24" i="11"/>
  <c r="G23" i="11"/>
  <c r="F23" i="11"/>
  <c r="H23" i="11" s="1"/>
  <c r="E23" i="11"/>
  <c r="D23" i="11"/>
  <c r="C23" i="11"/>
  <c r="B23" i="11"/>
  <c r="A23" i="11"/>
  <c r="D22" i="11"/>
  <c r="C22" i="11"/>
  <c r="B22" i="11"/>
  <c r="A22" i="11"/>
  <c r="F21" i="11"/>
  <c r="H21" i="11" s="1"/>
  <c r="D21" i="11"/>
  <c r="E21" i="11" s="1"/>
  <c r="G21" i="11" s="1"/>
  <c r="C21" i="11"/>
  <c r="B21" i="11"/>
  <c r="A21" i="11"/>
  <c r="F20" i="11"/>
  <c r="H20" i="11" s="1"/>
  <c r="D20" i="11"/>
  <c r="E20" i="11" s="1"/>
  <c r="G20" i="11" s="1"/>
  <c r="C20" i="11"/>
  <c r="B20" i="11"/>
  <c r="A20" i="11"/>
  <c r="J19" i="11"/>
  <c r="H19" i="11"/>
  <c r="I19" i="11" s="1"/>
  <c r="G19" i="11"/>
  <c r="F19" i="11"/>
  <c r="D19" i="11"/>
  <c r="E19" i="11" s="1"/>
  <c r="C19" i="11"/>
  <c r="B19" i="11"/>
  <c r="A19" i="11"/>
  <c r="D18" i="11"/>
  <c r="C18" i="11"/>
  <c r="B18" i="11"/>
  <c r="A18" i="11"/>
  <c r="F17" i="11"/>
  <c r="H17" i="11" s="1"/>
  <c r="D17" i="11"/>
  <c r="E17" i="11" s="1"/>
  <c r="G17" i="11" s="1"/>
  <c r="C17" i="11"/>
  <c r="B17" i="11"/>
  <c r="A17" i="11"/>
  <c r="F16" i="11"/>
  <c r="H16" i="11" s="1"/>
  <c r="D16" i="11"/>
  <c r="E16" i="11" s="1"/>
  <c r="G16" i="11" s="1"/>
  <c r="C16" i="11"/>
  <c r="B16" i="11"/>
  <c r="A16" i="11"/>
  <c r="G15" i="11"/>
  <c r="F15" i="11"/>
  <c r="H15" i="11" s="1"/>
  <c r="E15" i="11"/>
  <c r="D15" i="11"/>
  <c r="C15" i="11"/>
  <c r="B15" i="11"/>
  <c r="A15" i="11"/>
  <c r="D14" i="11"/>
  <c r="C14" i="11"/>
  <c r="B14" i="11"/>
  <c r="A14" i="11"/>
  <c r="D13" i="11"/>
  <c r="C13" i="11"/>
  <c r="B13" i="11"/>
  <c r="A13" i="11"/>
  <c r="D12" i="11"/>
  <c r="C12" i="11"/>
  <c r="B12" i="11"/>
  <c r="A12" i="11"/>
  <c r="F11" i="11"/>
  <c r="H11" i="11" s="1"/>
  <c r="I11" i="11" s="1"/>
  <c r="D11" i="11"/>
  <c r="E11" i="11" s="1"/>
  <c r="G11" i="11" s="1"/>
  <c r="C11" i="11"/>
  <c r="B11" i="11"/>
  <c r="A11" i="11"/>
  <c r="D10" i="11"/>
  <c r="C10" i="11"/>
  <c r="B10" i="11"/>
  <c r="A10" i="11"/>
  <c r="D9" i="11"/>
  <c r="C9" i="11"/>
  <c r="B9" i="11"/>
  <c r="A9" i="11"/>
  <c r="F8" i="11"/>
  <c r="H8" i="11" s="1"/>
  <c r="I8" i="11" s="1"/>
  <c r="D8" i="11"/>
  <c r="E8" i="11" s="1"/>
  <c r="G8" i="11" s="1"/>
  <c r="C8" i="11"/>
  <c r="B8" i="11"/>
  <c r="A8" i="11"/>
  <c r="D7" i="11"/>
  <c r="E7" i="11" s="1"/>
  <c r="G7" i="11" s="1"/>
  <c r="C7" i="11"/>
  <c r="B7" i="11"/>
  <c r="A7" i="11"/>
  <c r="F6" i="11"/>
  <c r="H6" i="11" s="1"/>
  <c r="D6" i="11"/>
  <c r="E6" i="11" s="1"/>
  <c r="G6" i="11" s="1"/>
  <c r="C6" i="11"/>
  <c r="B6" i="11"/>
  <c r="A6" i="11"/>
  <c r="D5" i="11"/>
  <c r="C5" i="11"/>
  <c r="B5" i="11"/>
  <c r="A5" i="11"/>
  <c r="J4" i="11"/>
  <c r="F4" i="11"/>
  <c r="H4" i="11" s="1"/>
  <c r="I4" i="11" s="1"/>
  <c r="D4" i="11"/>
  <c r="E4" i="11" s="1"/>
  <c r="G4" i="11" s="1"/>
  <c r="C4" i="11"/>
  <c r="B4" i="11"/>
  <c r="A4" i="11"/>
  <c r="I67" i="10"/>
  <c r="H67" i="10"/>
  <c r="G67" i="10"/>
  <c r="F67" i="10"/>
  <c r="E67" i="10"/>
  <c r="E15" i="16" s="1"/>
  <c r="D67" i="10"/>
  <c r="D15" i="16" s="1"/>
  <c r="C67" i="10"/>
  <c r="C15" i="16" s="1"/>
  <c r="B67" i="10"/>
  <c r="B15" i="16" s="1"/>
  <c r="A67" i="10"/>
  <c r="A15" i="16" s="1"/>
  <c r="J66" i="10"/>
  <c r="H66" i="10"/>
  <c r="G66" i="10"/>
  <c r="G14" i="16" s="1"/>
  <c r="F66" i="10"/>
  <c r="F14" i="16" s="1"/>
  <c r="E66" i="10"/>
  <c r="E14" i="16" s="1"/>
  <c r="D66" i="10"/>
  <c r="C66" i="10"/>
  <c r="C14" i="16" s="1"/>
  <c r="B66" i="10"/>
  <c r="B14" i="16" s="1"/>
  <c r="A66" i="10"/>
  <c r="A14" i="16" s="1"/>
  <c r="G65" i="10"/>
  <c r="F65" i="10"/>
  <c r="F13" i="16" s="1"/>
  <c r="E65" i="10"/>
  <c r="E13" i="16" s="1"/>
  <c r="D65" i="10"/>
  <c r="D13" i="16" s="1"/>
  <c r="C65" i="10"/>
  <c r="C13" i="16" s="1"/>
  <c r="B65" i="10"/>
  <c r="B13" i="16" s="1"/>
  <c r="A65" i="10"/>
  <c r="A13" i="16" s="1"/>
  <c r="J64" i="10"/>
  <c r="G64" i="10"/>
  <c r="G12" i="16" s="1"/>
  <c r="F64" i="10"/>
  <c r="E64" i="10"/>
  <c r="E12" i="16" s="1"/>
  <c r="D64" i="10"/>
  <c r="D12" i="16" s="1"/>
  <c r="C64" i="10"/>
  <c r="C12" i="16" s="1"/>
  <c r="B64" i="10"/>
  <c r="B12" i="16" s="1"/>
  <c r="A64" i="10"/>
  <c r="A12" i="16" s="1"/>
  <c r="J63" i="10"/>
  <c r="I63" i="10"/>
  <c r="G63" i="10"/>
  <c r="G11" i="16" s="1"/>
  <c r="F63" i="10"/>
  <c r="F11" i="16" s="1"/>
  <c r="E63" i="10"/>
  <c r="E11" i="16" s="1"/>
  <c r="D63" i="10"/>
  <c r="D11" i="16" s="1"/>
  <c r="C63" i="10"/>
  <c r="C11" i="16" s="1"/>
  <c r="B63" i="10"/>
  <c r="B11" i="16" s="1"/>
  <c r="A63" i="10"/>
  <c r="A11" i="16" s="1"/>
  <c r="H62" i="10"/>
  <c r="G62" i="10"/>
  <c r="G10" i="16" s="1"/>
  <c r="F62" i="10"/>
  <c r="E62" i="10"/>
  <c r="E10" i="16" s="1"/>
  <c r="D62" i="10"/>
  <c r="D10" i="16" s="1"/>
  <c r="C62" i="10"/>
  <c r="C10" i="16" s="1"/>
  <c r="B62" i="10"/>
  <c r="B10" i="16" s="1"/>
  <c r="A62" i="10"/>
  <c r="A10" i="16" s="1"/>
  <c r="I61" i="10"/>
  <c r="G61" i="10"/>
  <c r="F61" i="10"/>
  <c r="F9" i="16" s="1"/>
  <c r="E61" i="10"/>
  <c r="E9" i="16" s="1"/>
  <c r="D61" i="10"/>
  <c r="D9" i="16" s="1"/>
  <c r="C61" i="10"/>
  <c r="C9" i="16" s="1"/>
  <c r="B61" i="10"/>
  <c r="H61" i="10" s="1"/>
  <c r="A61" i="10"/>
  <c r="A9" i="16" s="1"/>
  <c r="J60" i="10"/>
  <c r="G60" i="10"/>
  <c r="G8" i="16" s="1"/>
  <c r="F60" i="10"/>
  <c r="E60" i="10"/>
  <c r="E8" i="16" s="1"/>
  <c r="D60" i="10"/>
  <c r="D8" i="16" s="1"/>
  <c r="C60" i="10"/>
  <c r="C8" i="16" s="1"/>
  <c r="B60" i="10"/>
  <c r="A60" i="10"/>
  <c r="A8" i="16" s="1"/>
  <c r="I59" i="10"/>
  <c r="H59" i="10"/>
  <c r="G59" i="10"/>
  <c r="F59" i="10"/>
  <c r="F7" i="16" s="1"/>
  <c r="E59" i="10"/>
  <c r="E7" i="16" s="1"/>
  <c r="D59" i="10"/>
  <c r="D7" i="16" s="1"/>
  <c r="C59" i="10"/>
  <c r="C7" i="16" s="1"/>
  <c r="B59" i="10"/>
  <c r="B7" i="16" s="1"/>
  <c r="A59" i="10"/>
  <c r="A7" i="16" s="1"/>
  <c r="J58" i="10"/>
  <c r="H58" i="10"/>
  <c r="G58" i="10"/>
  <c r="G6" i="16" s="1"/>
  <c r="F58" i="10"/>
  <c r="F6" i="16" s="1"/>
  <c r="E58" i="10"/>
  <c r="E6" i="16" s="1"/>
  <c r="D58" i="10"/>
  <c r="C58" i="10"/>
  <c r="C6" i="16" s="1"/>
  <c r="B58" i="10"/>
  <c r="B6" i="16" s="1"/>
  <c r="A58" i="10"/>
  <c r="A6" i="16" s="1"/>
  <c r="G57" i="10"/>
  <c r="F57" i="10"/>
  <c r="F5" i="16" s="1"/>
  <c r="E57" i="10"/>
  <c r="E5" i="16" s="1"/>
  <c r="D57" i="10"/>
  <c r="D5" i="16" s="1"/>
  <c r="C57" i="10"/>
  <c r="C5" i="16" s="1"/>
  <c r="B57" i="10"/>
  <c r="B5" i="16" s="1"/>
  <c r="A57" i="10"/>
  <c r="A5" i="16" s="1"/>
  <c r="J56" i="10"/>
  <c r="H56" i="10"/>
  <c r="G56" i="10"/>
  <c r="G4" i="16" s="1"/>
  <c r="F56" i="10"/>
  <c r="E56" i="10"/>
  <c r="E4" i="16" s="1"/>
  <c r="D56" i="10"/>
  <c r="D4" i="16" s="1"/>
  <c r="C56" i="10"/>
  <c r="C4" i="16" s="1"/>
  <c r="B56" i="10"/>
  <c r="B4" i="16" s="1"/>
  <c r="A56" i="10"/>
  <c r="A4" i="16" s="1"/>
  <c r="J55" i="10"/>
  <c r="I55" i="10"/>
  <c r="G55" i="10"/>
  <c r="F55" i="10"/>
  <c r="E55" i="10"/>
  <c r="D55" i="10"/>
  <c r="C55" i="10"/>
  <c r="B55" i="10"/>
  <c r="H55" i="10" s="1"/>
  <c r="K55" i="10" s="1"/>
  <c r="A55" i="10"/>
  <c r="H54" i="10"/>
  <c r="K54" i="10" s="1"/>
  <c r="G54" i="10"/>
  <c r="J54" i="10" s="1"/>
  <c r="F54" i="10"/>
  <c r="I54" i="10" s="1"/>
  <c r="E54" i="10"/>
  <c r="D54" i="10"/>
  <c r="C54" i="10"/>
  <c r="B54" i="10"/>
  <c r="A54" i="10"/>
  <c r="I53" i="10"/>
  <c r="G53" i="10"/>
  <c r="J53" i="10" s="1"/>
  <c r="F53" i="10"/>
  <c r="E53" i="10"/>
  <c r="D53" i="10"/>
  <c r="C53" i="10"/>
  <c r="B53" i="10"/>
  <c r="H53" i="10" s="1"/>
  <c r="K53" i="10" s="1"/>
  <c r="A53" i="10"/>
  <c r="J52" i="10"/>
  <c r="G52" i="10"/>
  <c r="F52" i="10"/>
  <c r="E52" i="10"/>
  <c r="D52" i="10"/>
  <c r="C52" i="10"/>
  <c r="B52" i="10"/>
  <c r="H52" i="10" s="1"/>
  <c r="A52" i="10"/>
  <c r="I51" i="10"/>
  <c r="H51" i="10"/>
  <c r="G51" i="10"/>
  <c r="J51" i="10" s="1"/>
  <c r="F51" i="10"/>
  <c r="E51" i="10"/>
  <c r="D51" i="10"/>
  <c r="C51" i="10"/>
  <c r="B51" i="10"/>
  <c r="A51" i="10"/>
  <c r="J50" i="10"/>
  <c r="G50" i="10"/>
  <c r="F50" i="10"/>
  <c r="E50" i="10"/>
  <c r="D50" i="10"/>
  <c r="I50" i="10" s="1"/>
  <c r="C50" i="10"/>
  <c r="B50" i="10"/>
  <c r="H50" i="10" s="1"/>
  <c r="K50" i="10" s="1"/>
  <c r="A50" i="10"/>
  <c r="G49" i="10"/>
  <c r="J49" i="10" s="1"/>
  <c r="F49" i="10"/>
  <c r="I49" i="10" s="1"/>
  <c r="E49" i="10"/>
  <c r="D49" i="10"/>
  <c r="C49" i="10"/>
  <c r="B49" i="10"/>
  <c r="H49" i="10" s="1"/>
  <c r="K49" i="10" s="1"/>
  <c r="A49" i="10"/>
  <c r="J48" i="10"/>
  <c r="G48" i="10"/>
  <c r="F48" i="10"/>
  <c r="I48" i="10" s="1"/>
  <c r="E48" i="10"/>
  <c r="D48" i="10"/>
  <c r="C48" i="10"/>
  <c r="B48" i="10"/>
  <c r="H48" i="10" s="1"/>
  <c r="K48" i="10" s="1"/>
  <c r="A48" i="10"/>
  <c r="J47" i="10"/>
  <c r="I47" i="10"/>
  <c r="G47" i="10"/>
  <c r="F47" i="10"/>
  <c r="E47" i="10"/>
  <c r="D47" i="10"/>
  <c r="C47" i="10"/>
  <c r="B47" i="10"/>
  <c r="H47" i="10" s="1"/>
  <c r="K47" i="10" s="1"/>
  <c r="A47" i="10"/>
  <c r="H46" i="10"/>
  <c r="K46" i="10" s="1"/>
  <c r="G46" i="10"/>
  <c r="J46" i="10" s="1"/>
  <c r="F46" i="10"/>
  <c r="I46" i="10" s="1"/>
  <c r="E46" i="10"/>
  <c r="D46" i="10"/>
  <c r="C46" i="10"/>
  <c r="B46" i="10"/>
  <c r="A46" i="10"/>
  <c r="K45" i="10"/>
  <c r="I45" i="10"/>
  <c r="G45" i="10"/>
  <c r="J45" i="10" s="1"/>
  <c r="F45" i="10"/>
  <c r="E45" i="10"/>
  <c r="D45" i="10"/>
  <c r="C45" i="10"/>
  <c r="B45" i="10"/>
  <c r="H45" i="10" s="1"/>
  <c r="A45" i="10"/>
  <c r="J44" i="10"/>
  <c r="G44" i="10"/>
  <c r="F44" i="10"/>
  <c r="I44" i="10" s="1"/>
  <c r="E44" i="10"/>
  <c r="D44" i="10"/>
  <c r="C44" i="10"/>
  <c r="B44" i="10"/>
  <c r="H44" i="10" s="1"/>
  <c r="A44" i="10"/>
  <c r="I43" i="10"/>
  <c r="H43" i="10"/>
  <c r="G43" i="10"/>
  <c r="J43" i="10" s="1"/>
  <c r="F43" i="10"/>
  <c r="E43" i="10"/>
  <c r="D43" i="10"/>
  <c r="C43" i="10"/>
  <c r="B43" i="10"/>
  <c r="A43" i="10"/>
  <c r="J42" i="10"/>
  <c r="G42" i="10"/>
  <c r="F42" i="10"/>
  <c r="E42" i="10"/>
  <c r="D42" i="10"/>
  <c r="I42" i="10" s="1"/>
  <c r="C42" i="10"/>
  <c r="B42" i="10"/>
  <c r="H42" i="10" s="1"/>
  <c r="K42" i="10" s="1"/>
  <c r="A42" i="10"/>
  <c r="G41" i="10"/>
  <c r="J41" i="10" s="1"/>
  <c r="F41" i="10"/>
  <c r="I41" i="10" s="1"/>
  <c r="E41" i="10"/>
  <c r="D41" i="10"/>
  <c r="C41" i="10"/>
  <c r="B41" i="10"/>
  <c r="H41" i="10" s="1"/>
  <c r="K41" i="10" s="1"/>
  <c r="A41" i="10"/>
  <c r="J40" i="10"/>
  <c r="G40" i="10"/>
  <c r="F40" i="10"/>
  <c r="I40" i="10" s="1"/>
  <c r="E40" i="10"/>
  <c r="D40" i="10"/>
  <c r="C40" i="10"/>
  <c r="B40" i="10"/>
  <c r="H40" i="10" s="1"/>
  <c r="K40" i="10" s="1"/>
  <c r="A40" i="10"/>
  <c r="G39" i="10"/>
  <c r="J39" i="10" s="1"/>
  <c r="F39" i="10"/>
  <c r="E39" i="10"/>
  <c r="D39" i="10"/>
  <c r="I39" i="10" s="1"/>
  <c r="K39" i="10" s="1"/>
  <c r="C39" i="10"/>
  <c r="B39" i="10"/>
  <c r="H39" i="10" s="1"/>
  <c r="A39" i="10"/>
  <c r="H38" i="10"/>
  <c r="G38" i="10"/>
  <c r="J38" i="10" s="1"/>
  <c r="F38" i="10"/>
  <c r="I38" i="10" s="1"/>
  <c r="E38" i="10"/>
  <c r="D38" i="10"/>
  <c r="C38" i="10"/>
  <c r="B38" i="10"/>
  <c r="A38" i="10"/>
  <c r="J37" i="10"/>
  <c r="I37" i="10"/>
  <c r="G37" i="10"/>
  <c r="F37" i="10"/>
  <c r="E37" i="10"/>
  <c r="D37" i="10"/>
  <c r="C37" i="10"/>
  <c r="B37" i="10"/>
  <c r="H37" i="10" s="1"/>
  <c r="K37" i="10" s="1"/>
  <c r="A37" i="10"/>
  <c r="J36" i="10"/>
  <c r="G36" i="10"/>
  <c r="F36" i="10"/>
  <c r="E36" i="10"/>
  <c r="D36" i="10"/>
  <c r="C36" i="10"/>
  <c r="B36" i="10"/>
  <c r="H36" i="10" s="1"/>
  <c r="A36" i="10"/>
  <c r="K35" i="10"/>
  <c r="I35" i="10"/>
  <c r="H35" i="10"/>
  <c r="G35" i="10"/>
  <c r="J35" i="10" s="1"/>
  <c r="F35" i="10"/>
  <c r="E35" i="10"/>
  <c r="D35" i="10"/>
  <c r="C35" i="10"/>
  <c r="B35" i="10"/>
  <c r="A35" i="10"/>
  <c r="J34" i="10"/>
  <c r="G34" i="10"/>
  <c r="F34" i="10"/>
  <c r="I34" i="10" s="1"/>
  <c r="E34" i="10"/>
  <c r="D34" i="10"/>
  <c r="C34" i="10"/>
  <c r="B34" i="10"/>
  <c r="H34" i="10" s="1"/>
  <c r="K34" i="10" s="1"/>
  <c r="A34" i="10"/>
  <c r="I33" i="10"/>
  <c r="G33" i="10"/>
  <c r="J33" i="10" s="1"/>
  <c r="F33" i="10"/>
  <c r="E33" i="10"/>
  <c r="D33" i="10"/>
  <c r="C33" i="10"/>
  <c r="B33" i="10"/>
  <c r="H33" i="10" s="1"/>
  <c r="K33" i="10" s="1"/>
  <c r="A33" i="10"/>
  <c r="J32" i="10"/>
  <c r="I32" i="10"/>
  <c r="G32" i="10"/>
  <c r="F32" i="10"/>
  <c r="E32" i="10"/>
  <c r="D32" i="10"/>
  <c r="C32" i="10"/>
  <c r="B32" i="10"/>
  <c r="H32" i="10" s="1"/>
  <c r="K32" i="10" s="1"/>
  <c r="A32" i="10"/>
  <c r="I31" i="10"/>
  <c r="G31" i="10"/>
  <c r="J31" i="10" s="1"/>
  <c r="F31" i="10"/>
  <c r="E31" i="10"/>
  <c r="D31" i="10"/>
  <c r="C31" i="10"/>
  <c r="B31" i="10"/>
  <c r="H31" i="10" s="1"/>
  <c r="K31" i="10" s="1"/>
  <c r="A31" i="10"/>
  <c r="J30" i="10"/>
  <c r="G30" i="10"/>
  <c r="F30" i="10"/>
  <c r="E30" i="10"/>
  <c r="D30" i="10"/>
  <c r="C30" i="10"/>
  <c r="B30" i="10"/>
  <c r="H30" i="10" s="1"/>
  <c r="A30" i="10"/>
  <c r="J29" i="10"/>
  <c r="I29" i="10"/>
  <c r="G29" i="10"/>
  <c r="F29" i="10"/>
  <c r="E29" i="10"/>
  <c r="D29" i="10"/>
  <c r="C29" i="10"/>
  <c r="B29" i="10"/>
  <c r="H29" i="10" s="1"/>
  <c r="K29" i="10" s="1"/>
  <c r="A29" i="10"/>
  <c r="J28" i="10"/>
  <c r="G28" i="10"/>
  <c r="F28" i="10"/>
  <c r="I28" i="10" s="1"/>
  <c r="E28" i="10"/>
  <c r="D28" i="10"/>
  <c r="C28" i="10"/>
  <c r="B28" i="10"/>
  <c r="H28" i="10" s="1"/>
  <c r="K28" i="10" s="1"/>
  <c r="A28" i="10"/>
  <c r="I27" i="10"/>
  <c r="H27" i="10"/>
  <c r="K27" i="10" s="1"/>
  <c r="G27" i="10"/>
  <c r="J27" i="10" s="1"/>
  <c r="F27" i="10"/>
  <c r="E27" i="10"/>
  <c r="D27" i="10"/>
  <c r="C27" i="10"/>
  <c r="B27" i="10"/>
  <c r="A27" i="10"/>
  <c r="J26" i="10"/>
  <c r="G26" i="10"/>
  <c r="F26" i="10"/>
  <c r="I26" i="10" s="1"/>
  <c r="E26" i="10"/>
  <c r="D26" i="10"/>
  <c r="C26" i="10"/>
  <c r="B26" i="10"/>
  <c r="H26" i="10" s="1"/>
  <c r="K26" i="10" s="1"/>
  <c r="A26" i="10"/>
  <c r="I25" i="10"/>
  <c r="G25" i="10"/>
  <c r="J25" i="10" s="1"/>
  <c r="F25" i="10"/>
  <c r="E25" i="10"/>
  <c r="D25" i="10"/>
  <c r="C25" i="10"/>
  <c r="B25" i="10"/>
  <c r="H25" i="10" s="1"/>
  <c r="K25" i="10" s="1"/>
  <c r="A25" i="10"/>
  <c r="J24" i="10"/>
  <c r="G24" i="10"/>
  <c r="F24" i="10"/>
  <c r="I24" i="10" s="1"/>
  <c r="E24" i="10"/>
  <c r="D24" i="10"/>
  <c r="C24" i="10"/>
  <c r="B24" i="10"/>
  <c r="H24" i="10" s="1"/>
  <c r="A24" i="10"/>
  <c r="G23" i="10"/>
  <c r="J23" i="10" s="1"/>
  <c r="F23" i="10"/>
  <c r="E23" i="10"/>
  <c r="D23" i="10"/>
  <c r="I23" i="10" s="1"/>
  <c r="C23" i="10"/>
  <c r="B23" i="10"/>
  <c r="H23" i="10" s="1"/>
  <c r="A23" i="10"/>
  <c r="H22" i="10"/>
  <c r="G22" i="10"/>
  <c r="J22" i="10" s="1"/>
  <c r="F22" i="10"/>
  <c r="I22" i="10" s="1"/>
  <c r="E22" i="10"/>
  <c r="D22" i="10"/>
  <c r="C22" i="10"/>
  <c r="B22" i="10"/>
  <c r="A22" i="10"/>
  <c r="J21" i="10"/>
  <c r="I21" i="10"/>
  <c r="G21" i="10"/>
  <c r="F21" i="10"/>
  <c r="E21" i="10"/>
  <c r="D21" i="10"/>
  <c r="C21" i="10"/>
  <c r="B21" i="10"/>
  <c r="H21" i="10" s="1"/>
  <c r="K21" i="10" s="1"/>
  <c r="A21" i="10"/>
  <c r="J20" i="10"/>
  <c r="G20" i="10"/>
  <c r="F20" i="10"/>
  <c r="I20" i="10" s="1"/>
  <c r="E20" i="10"/>
  <c r="D20" i="10"/>
  <c r="C20" i="10"/>
  <c r="B20" i="10"/>
  <c r="H20" i="10" s="1"/>
  <c r="K20" i="10" s="1"/>
  <c r="A20" i="10"/>
  <c r="K19" i="10"/>
  <c r="I19" i="10"/>
  <c r="H19" i="10"/>
  <c r="G19" i="10"/>
  <c r="J19" i="10" s="1"/>
  <c r="F19" i="10"/>
  <c r="E19" i="10"/>
  <c r="D19" i="10"/>
  <c r="C19" i="10"/>
  <c r="B19" i="10"/>
  <c r="A19" i="10"/>
  <c r="J18" i="10"/>
  <c r="H18" i="10"/>
  <c r="G18" i="10"/>
  <c r="F18" i="10"/>
  <c r="I18" i="10" s="1"/>
  <c r="E18" i="10"/>
  <c r="D18" i="10"/>
  <c r="C18" i="10"/>
  <c r="B18" i="10"/>
  <c r="A18" i="10"/>
  <c r="K17" i="10"/>
  <c r="I17" i="10"/>
  <c r="G17" i="10"/>
  <c r="J17" i="10" s="1"/>
  <c r="F17" i="10"/>
  <c r="E17" i="10"/>
  <c r="D17" i="10"/>
  <c r="C17" i="10"/>
  <c r="B17" i="10"/>
  <c r="H17" i="10" s="1"/>
  <c r="A17" i="10"/>
  <c r="J16" i="10"/>
  <c r="I16" i="10"/>
  <c r="G16" i="10"/>
  <c r="F16" i="10"/>
  <c r="E16" i="10"/>
  <c r="D16" i="10"/>
  <c r="C16" i="10"/>
  <c r="B16" i="10"/>
  <c r="H16" i="10" s="1"/>
  <c r="K16" i="10" s="1"/>
  <c r="A16" i="10"/>
  <c r="J15" i="10"/>
  <c r="G15" i="10"/>
  <c r="F15" i="10"/>
  <c r="E15" i="10"/>
  <c r="D15" i="10"/>
  <c r="I15" i="10" s="1"/>
  <c r="C15" i="10"/>
  <c r="B15" i="10"/>
  <c r="H15" i="10" s="1"/>
  <c r="A15" i="10"/>
  <c r="J14" i="10"/>
  <c r="G14" i="10"/>
  <c r="F14" i="10"/>
  <c r="I14" i="10" s="1"/>
  <c r="E14" i="10"/>
  <c r="D14" i="10"/>
  <c r="C14" i="10"/>
  <c r="B14" i="10"/>
  <c r="H14" i="10" s="1"/>
  <c r="K14" i="10" s="1"/>
  <c r="A14" i="10"/>
  <c r="I13" i="10"/>
  <c r="H13" i="10"/>
  <c r="K13" i="10" s="1"/>
  <c r="G13" i="10"/>
  <c r="J13" i="10" s="1"/>
  <c r="F13" i="10"/>
  <c r="E13" i="10"/>
  <c r="D13" i="10"/>
  <c r="C13" i="10"/>
  <c r="B13" i="10"/>
  <c r="A13" i="10"/>
  <c r="J12" i="10"/>
  <c r="G12" i="10"/>
  <c r="F12" i="10"/>
  <c r="I12" i="10" s="1"/>
  <c r="E12" i="10"/>
  <c r="D12" i="10"/>
  <c r="C12" i="10"/>
  <c r="B12" i="10"/>
  <c r="H12" i="10" s="1"/>
  <c r="K12" i="10" s="1"/>
  <c r="A12" i="10"/>
  <c r="K11" i="10"/>
  <c r="I11" i="10"/>
  <c r="H11" i="10"/>
  <c r="G11" i="10"/>
  <c r="J11" i="10" s="1"/>
  <c r="F11" i="10"/>
  <c r="E11" i="10"/>
  <c r="D11" i="10"/>
  <c r="C11" i="10"/>
  <c r="B11" i="10"/>
  <c r="A11" i="10"/>
  <c r="J10" i="10"/>
  <c r="H10" i="10"/>
  <c r="K10" i="10" s="1"/>
  <c r="G10" i="10"/>
  <c r="F10" i="10"/>
  <c r="I10" i="10" s="1"/>
  <c r="E10" i="10"/>
  <c r="D10" i="10"/>
  <c r="C10" i="10"/>
  <c r="B10" i="10"/>
  <c r="A10" i="10"/>
  <c r="K9" i="10"/>
  <c r="I9" i="10"/>
  <c r="G9" i="10"/>
  <c r="J9" i="10" s="1"/>
  <c r="F9" i="10"/>
  <c r="E9" i="10"/>
  <c r="D9" i="10"/>
  <c r="C9" i="10"/>
  <c r="B9" i="10"/>
  <c r="H9" i="10" s="1"/>
  <c r="A9" i="10"/>
  <c r="J8" i="10"/>
  <c r="I8" i="10"/>
  <c r="G8" i="10"/>
  <c r="F8" i="10"/>
  <c r="E8" i="10"/>
  <c r="D8" i="10"/>
  <c r="C8" i="10"/>
  <c r="B8" i="10"/>
  <c r="H8" i="10" s="1"/>
  <c r="K8" i="10" s="1"/>
  <c r="A8" i="10"/>
  <c r="J7" i="10"/>
  <c r="G7" i="10"/>
  <c r="F7" i="10"/>
  <c r="E7" i="10"/>
  <c r="D7" i="10"/>
  <c r="I7" i="10" s="1"/>
  <c r="C7" i="10"/>
  <c r="B7" i="10"/>
  <c r="H7" i="10" s="1"/>
  <c r="K7" i="10" s="1"/>
  <c r="A7" i="10"/>
  <c r="J6" i="10"/>
  <c r="G6" i="10"/>
  <c r="F6" i="10"/>
  <c r="I6" i="10" s="1"/>
  <c r="E6" i="10"/>
  <c r="D6" i="10"/>
  <c r="C6" i="10"/>
  <c r="B6" i="10"/>
  <c r="H6" i="10" s="1"/>
  <c r="K6" i="10" s="1"/>
  <c r="A6" i="10"/>
  <c r="I5" i="10"/>
  <c r="H5" i="10"/>
  <c r="K5" i="10" s="1"/>
  <c r="G5" i="10"/>
  <c r="J5" i="10" s="1"/>
  <c r="F5" i="10"/>
  <c r="E5" i="10"/>
  <c r="D5" i="10"/>
  <c r="C5" i="10"/>
  <c r="B5" i="10"/>
  <c r="A5" i="10"/>
  <c r="J4" i="10"/>
  <c r="G4" i="10"/>
  <c r="F4" i="10"/>
  <c r="I4" i="10" s="1"/>
  <c r="E4" i="10"/>
  <c r="D4" i="10"/>
  <c r="C4" i="10"/>
  <c r="B4" i="10"/>
  <c r="H4" i="10" s="1"/>
  <c r="K4" i="10" s="1"/>
  <c r="A4" i="10"/>
  <c r="I67" i="9"/>
  <c r="F67" i="9"/>
  <c r="E67" i="9"/>
  <c r="H67" i="9" s="1"/>
  <c r="E15" i="15" s="1"/>
  <c r="D67" i="9"/>
  <c r="D15" i="15" s="1"/>
  <c r="C67" i="9"/>
  <c r="B67" i="9"/>
  <c r="A67" i="9"/>
  <c r="A15" i="15" s="1"/>
  <c r="H66" i="9"/>
  <c r="E14" i="15" s="1"/>
  <c r="F66" i="9"/>
  <c r="E66" i="9"/>
  <c r="D66" i="9"/>
  <c r="D14" i="15" s="1"/>
  <c r="C66" i="9"/>
  <c r="B66" i="9"/>
  <c r="B14" i="15" s="1"/>
  <c r="A66" i="9"/>
  <c r="A14" i="15" s="1"/>
  <c r="I65" i="9"/>
  <c r="G65" i="9"/>
  <c r="F65" i="9"/>
  <c r="E65" i="9"/>
  <c r="D65" i="9"/>
  <c r="D13" i="15" s="1"/>
  <c r="C65" i="9"/>
  <c r="C13" i="15" s="1"/>
  <c r="B65" i="9"/>
  <c r="B13" i="15" s="1"/>
  <c r="A65" i="9"/>
  <c r="A13" i="15" s="1"/>
  <c r="I64" i="9"/>
  <c r="H64" i="9"/>
  <c r="E12" i="15" s="1"/>
  <c r="F64" i="9"/>
  <c r="E64" i="9"/>
  <c r="D64" i="9"/>
  <c r="D12" i="15" s="1"/>
  <c r="C64" i="9"/>
  <c r="C12" i="15" s="1"/>
  <c r="B64" i="9"/>
  <c r="B12" i="15" s="1"/>
  <c r="A64" i="9"/>
  <c r="A12" i="15" s="1"/>
  <c r="F63" i="9"/>
  <c r="E63" i="9"/>
  <c r="H63" i="9" s="1"/>
  <c r="E11" i="15" s="1"/>
  <c r="D63" i="9"/>
  <c r="I63" i="9" s="1"/>
  <c r="C63" i="9"/>
  <c r="C11" i="15" s="1"/>
  <c r="B63" i="9"/>
  <c r="B11" i="15" s="1"/>
  <c r="A63" i="9"/>
  <c r="A11" i="15" s="1"/>
  <c r="F62" i="9"/>
  <c r="E62" i="9"/>
  <c r="H62" i="9" s="1"/>
  <c r="E10" i="15" s="1"/>
  <c r="D62" i="9"/>
  <c r="C62" i="9"/>
  <c r="C10" i="15" s="1"/>
  <c r="B62" i="9"/>
  <c r="B10" i="15" s="1"/>
  <c r="A62" i="9"/>
  <c r="A10" i="15" s="1"/>
  <c r="I61" i="9"/>
  <c r="H61" i="9"/>
  <c r="E9" i="15" s="1"/>
  <c r="G61" i="9"/>
  <c r="F61" i="9"/>
  <c r="E61" i="9"/>
  <c r="D61" i="9"/>
  <c r="D9" i="15" s="1"/>
  <c r="C61" i="9"/>
  <c r="C9" i="15" s="1"/>
  <c r="B61" i="9"/>
  <c r="B9" i="15" s="1"/>
  <c r="A61" i="9"/>
  <c r="A9" i="15" s="1"/>
  <c r="J60" i="9"/>
  <c r="H60" i="9"/>
  <c r="E8" i="15" s="1"/>
  <c r="F60" i="9"/>
  <c r="E60" i="9"/>
  <c r="D60" i="9"/>
  <c r="C60" i="9"/>
  <c r="B60" i="9"/>
  <c r="B8" i="15" s="1"/>
  <c r="A60" i="9"/>
  <c r="A8" i="15" s="1"/>
  <c r="I59" i="9"/>
  <c r="F59" i="9"/>
  <c r="H59" i="9" s="1"/>
  <c r="E7" i="15" s="1"/>
  <c r="E59" i="9"/>
  <c r="D59" i="9"/>
  <c r="D7" i="15" s="1"/>
  <c r="C59" i="9"/>
  <c r="C7" i="15" s="1"/>
  <c r="B59" i="9"/>
  <c r="B7" i="15" s="1"/>
  <c r="A59" i="9"/>
  <c r="A7" i="15" s="1"/>
  <c r="F58" i="9"/>
  <c r="H58" i="9" s="1"/>
  <c r="E6" i="15" s="1"/>
  <c r="E58" i="9"/>
  <c r="D58" i="9"/>
  <c r="D6" i="15" s="1"/>
  <c r="C58" i="9"/>
  <c r="B58" i="9"/>
  <c r="B6" i="15" s="1"/>
  <c r="A58" i="9"/>
  <c r="A6" i="15" s="1"/>
  <c r="F57" i="9"/>
  <c r="E57" i="9"/>
  <c r="D57" i="9"/>
  <c r="D5" i="15" s="1"/>
  <c r="C57" i="9"/>
  <c r="C5" i="15" s="1"/>
  <c r="B57" i="9"/>
  <c r="B5" i="15" s="1"/>
  <c r="A57" i="9"/>
  <c r="A5" i="15" s="1"/>
  <c r="H56" i="9"/>
  <c r="E4" i="15" s="1"/>
  <c r="G56" i="9"/>
  <c r="F56" i="9"/>
  <c r="E56" i="9"/>
  <c r="D56" i="9"/>
  <c r="D4" i="15" s="1"/>
  <c r="C56" i="9"/>
  <c r="B56" i="9"/>
  <c r="B4" i="15" s="1"/>
  <c r="A56" i="9"/>
  <c r="A4" i="15" s="1"/>
  <c r="I55" i="9"/>
  <c r="G55" i="9"/>
  <c r="F55" i="9"/>
  <c r="E55" i="9"/>
  <c r="H55" i="9" s="1"/>
  <c r="D55" i="9"/>
  <c r="C55" i="9"/>
  <c r="B55" i="9"/>
  <c r="J55" i="9" s="1"/>
  <c r="K55" i="9" s="1"/>
  <c r="A55" i="9"/>
  <c r="F54" i="9"/>
  <c r="H54" i="9" s="1"/>
  <c r="E54" i="9"/>
  <c r="D54" i="9"/>
  <c r="I54" i="9" s="1"/>
  <c r="C54" i="9"/>
  <c r="B54" i="9"/>
  <c r="J54" i="9" s="1"/>
  <c r="A54" i="9"/>
  <c r="I53" i="9"/>
  <c r="F53" i="9"/>
  <c r="E53" i="9"/>
  <c r="H53" i="9" s="1"/>
  <c r="D53" i="9"/>
  <c r="C53" i="9"/>
  <c r="G54" i="9" s="1"/>
  <c r="B53" i="9"/>
  <c r="J53" i="9" s="1"/>
  <c r="A53" i="9"/>
  <c r="H52" i="9"/>
  <c r="F52" i="9"/>
  <c r="E52" i="9"/>
  <c r="D52" i="9"/>
  <c r="I52" i="9" s="1"/>
  <c r="C52" i="9"/>
  <c r="B52" i="9"/>
  <c r="J52" i="9" s="1"/>
  <c r="A52" i="9"/>
  <c r="I51" i="9"/>
  <c r="H51" i="9"/>
  <c r="F51" i="9"/>
  <c r="E51" i="9"/>
  <c r="D51" i="9"/>
  <c r="C51" i="9"/>
  <c r="B51" i="9"/>
  <c r="J51" i="9" s="1"/>
  <c r="A51" i="9"/>
  <c r="F50" i="9"/>
  <c r="E50" i="9"/>
  <c r="H50" i="9" s="1"/>
  <c r="D50" i="9"/>
  <c r="I50" i="9" s="1"/>
  <c r="K50" i="9" s="1"/>
  <c r="C50" i="9"/>
  <c r="G50" i="9" s="1"/>
  <c r="B50" i="9"/>
  <c r="J50" i="9" s="1"/>
  <c r="A50" i="9"/>
  <c r="I49" i="9"/>
  <c r="H49" i="9"/>
  <c r="F49" i="9"/>
  <c r="E49" i="9"/>
  <c r="D49" i="9"/>
  <c r="C49" i="9"/>
  <c r="B49" i="9"/>
  <c r="J49" i="9" s="1"/>
  <c r="A49" i="9"/>
  <c r="I48" i="9"/>
  <c r="F48" i="9"/>
  <c r="H48" i="9" s="1"/>
  <c r="E48" i="9"/>
  <c r="D48" i="9"/>
  <c r="C48" i="9"/>
  <c r="G48" i="9" s="1"/>
  <c r="B48" i="9"/>
  <c r="J48" i="9" s="1"/>
  <c r="A48" i="9"/>
  <c r="F47" i="9"/>
  <c r="E47" i="9"/>
  <c r="H47" i="9" s="1"/>
  <c r="D47" i="9"/>
  <c r="I47" i="9" s="1"/>
  <c r="C47" i="9"/>
  <c r="G47" i="9" s="1"/>
  <c r="B47" i="9"/>
  <c r="J47" i="9" s="1"/>
  <c r="A47" i="9"/>
  <c r="I46" i="9"/>
  <c r="H46" i="9"/>
  <c r="F46" i="9"/>
  <c r="E46" i="9"/>
  <c r="D46" i="9"/>
  <c r="C46" i="9"/>
  <c r="B46" i="9"/>
  <c r="J46" i="9" s="1"/>
  <c r="A46" i="9"/>
  <c r="F45" i="9"/>
  <c r="E45" i="9"/>
  <c r="H45" i="9" s="1"/>
  <c r="D45" i="9"/>
  <c r="I45" i="9" s="1"/>
  <c r="C45" i="9"/>
  <c r="G45" i="9" s="1"/>
  <c r="B45" i="9"/>
  <c r="J45" i="9" s="1"/>
  <c r="A45" i="9"/>
  <c r="G44" i="9"/>
  <c r="F44" i="9"/>
  <c r="E44" i="9"/>
  <c r="H44" i="9" s="1"/>
  <c r="D44" i="9"/>
  <c r="I44" i="9" s="1"/>
  <c r="C44" i="9"/>
  <c r="B44" i="9"/>
  <c r="J44" i="9" s="1"/>
  <c r="A44" i="9"/>
  <c r="I43" i="9"/>
  <c r="H43" i="9"/>
  <c r="F43" i="9"/>
  <c r="E43" i="9"/>
  <c r="D43" i="9"/>
  <c r="C43" i="9"/>
  <c r="B43" i="9"/>
  <c r="J43" i="9" s="1"/>
  <c r="A43" i="9"/>
  <c r="F42" i="9"/>
  <c r="E42" i="9"/>
  <c r="H42" i="9" s="1"/>
  <c r="D42" i="9"/>
  <c r="I42" i="9" s="1"/>
  <c r="K42" i="9" s="1"/>
  <c r="C42" i="9"/>
  <c r="G42" i="9" s="1"/>
  <c r="B42" i="9"/>
  <c r="J42" i="9" s="1"/>
  <c r="A42" i="9"/>
  <c r="H41" i="9"/>
  <c r="F41" i="9"/>
  <c r="E41" i="9"/>
  <c r="D41" i="9"/>
  <c r="I41" i="9" s="1"/>
  <c r="C41" i="9"/>
  <c r="B41" i="9"/>
  <c r="J41" i="9" s="1"/>
  <c r="A41" i="9"/>
  <c r="I40" i="9"/>
  <c r="F40" i="9"/>
  <c r="H40" i="9" s="1"/>
  <c r="E40" i="9"/>
  <c r="D40" i="9"/>
  <c r="C40" i="9"/>
  <c r="G40" i="9" s="1"/>
  <c r="B40" i="9"/>
  <c r="J40" i="9" s="1"/>
  <c r="K40" i="9" s="1"/>
  <c r="A40" i="9"/>
  <c r="F39" i="9"/>
  <c r="E39" i="9"/>
  <c r="H39" i="9" s="1"/>
  <c r="D39" i="9"/>
  <c r="I39" i="9" s="1"/>
  <c r="K39" i="9" s="1"/>
  <c r="C39" i="9"/>
  <c r="G39" i="9" s="1"/>
  <c r="B39" i="9"/>
  <c r="J39" i="9" s="1"/>
  <c r="A39" i="9"/>
  <c r="I38" i="9"/>
  <c r="H38" i="9"/>
  <c r="F38" i="9"/>
  <c r="E38" i="9"/>
  <c r="D38" i="9"/>
  <c r="C38" i="9"/>
  <c r="B38" i="9"/>
  <c r="J38" i="9" s="1"/>
  <c r="A38" i="9"/>
  <c r="F37" i="9"/>
  <c r="E37" i="9"/>
  <c r="H37" i="9" s="1"/>
  <c r="D37" i="9"/>
  <c r="I37" i="9" s="1"/>
  <c r="C37" i="9"/>
  <c r="G37" i="9" s="1"/>
  <c r="B37" i="9"/>
  <c r="J37" i="9" s="1"/>
  <c r="A37" i="9"/>
  <c r="G36" i="9"/>
  <c r="F36" i="9"/>
  <c r="E36" i="9"/>
  <c r="H36" i="9" s="1"/>
  <c r="D36" i="9"/>
  <c r="I36" i="9" s="1"/>
  <c r="K36" i="9" s="1"/>
  <c r="C36" i="9"/>
  <c r="B36" i="9"/>
  <c r="J36" i="9" s="1"/>
  <c r="A36" i="9"/>
  <c r="I35" i="9"/>
  <c r="H35" i="9"/>
  <c r="F35" i="9"/>
  <c r="E35" i="9"/>
  <c r="D35" i="9"/>
  <c r="C35" i="9"/>
  <c r="B35" i="9"/>
  <c r="J35" i="9" s="1"/>
  <c r="A35" i="9"/>
  <c r="F34" i="9"/>
  <c r="E34" i="9"/>
  <c r="H34" i="9" s="1"/>
  <c r="D34" i="9"/>
  <c r="I34" i="9" s="1"/>
  <c r="C34" i="9"/>
  <c r="G34" i="9" s="1"/>
  <c r="B34" i="9"/>
  <c r="J34" i="9" s="1"/>
  <c r="A34" i="9"/>
  <c r="H33" i="9"/>
  <c r="F33" i="9"/>
  <c r="E33" i="9"/>
  <c r="D33" i="9"/>
  <c r="I33" i="9" s="1"/>
  <c r="C33" i="9"/>
  <c r="B33" i="9"/>
  <c r="J33" i="9" s="1"/>
  <c r="A33" i="9"/>
  <c r="I32" i="9"/>
  <c r="F32" i="9"/>
  <c r="H32" i="9" s="1"/>
  <c r="E32" i="9"/>
  <c r="D32" i="9"/>
  <c r="C32" i="9"/>
  <c r="G32" i="9" s="1"/>
  <c r="B32" i="9"/>
  <c r="J32" i="9" s="1"/>
  <c r="A32" i="9"/>
  <c r="F31" i="9"/>
  <c r="E31" i="9"/>
  <c r="H31" i="9" s="1"/>
  <c r="D31" i="9"/>
  <c r="I31" i="9" s="1"/>
  <c r="C31" i="9"/>
  <c r="G31" i="9" s="1"/>
  <c r="B31" i="9"/>
  <c r="J31" i="9" s="1"/>
  <c r="A31" i="9"/>
  <c r="I30" i="9"/>
  <c r="H30" i="9"/>
  <c r="F30" i="9"/>
  <c r="E30" i="9"/>
  <c r="D30" i="9"/>
  <c r="C30" i="9"/>
  <c r="B30" i="9"/>
  <c r="J30" i="9" s="1"/>
  <c r="A30" i="9"/>
  <c r="F29" i="9"/>
  <c r="E29" i="9"/>
  <c r="H29" i="9" s="1"/>
  <c r="D29" i="9"/>
  <c r="I29" i="9" s="1"/>
  <c r="K29" i="9" s="1"/>
  <c r="C29" i="9"/>
  <c r="G29" i="9" s="1"/>
  <c r="B29" i="9"/>
  <c r="J29" i="9" s="1"/>
  <c r="A29" i="9"/>
  <c r="G28" i="9"/>
  <c r="F28" i="9"/>
  <c r="E28" i="9"/>
  <c r="H28" i="9" s="1"/>
  <c r="D28" i="9"/>
  <c r="I28" i="9" s="1"/>
  <c r="K28" i="9" s="1"/>
  <c r="C28" i="9"/>
  <c r="B28" i="9"/>
  <c r="J28" i="9" s="1"/>
  <c r="A28" i="9"/>
  <c r="I27" i="9"/>
  <c r="H27" i="9"/>
  <c r="F27" i="9"/>
  <c r="E27" i="9"/>
  <c r="D27" i="9"/>
  <c r="C27" i="9"/>
  <c r="B27" i="9"/>
  <c r="J27" i="9" s="1"/>
  <c r="A27" i="9"/>
  <c r="F26" i="9"/>
  <c r="E26" i="9"/>
  <c r="H26" i="9" s="1"/>
  <c r="D26" i="9"/>
  <c r="I26" i="9" s="1"/>
  <c r="C26" i="9"/>
  <c r="G26" i="9" s="1"/>
  <c r="B26" i="9"/>
  <c r="J26" i="9" s="1"/>
  <c r="A26" i="9"/>
  <c r="I25" i="9"/>
  <c r="H25" i="9"/>
  <c r="F25" i="9"/>
  <c r="E25" i="9"/>
  <c r="D25" i="9"/>
  <c r="C25" i="9"/>
  <c r="B25" i="9"/>
  <c r="J25" i="9" s="1"/>
  <c r="A25" i="9"/>
  <c r="I24" i="9"/>
  <c r="F24" i="9"/>
  <c r="E24" i="9"/>
  <c r="H24" i="9" s="1"/>
  <c r="D24" i="9"/>
  <c r="C24" i="9"/>
  <c r="G24" i="9" s="1"/>
  <c r="B24" i="9"/>
  <c r="J24" i="9" s="1"/>
  <c r="K24" i="9" s="1"/>
  <c r="A24" i="9"/>
  <c r="F23" i="9"/>
  <c r="E23" i="9"/>
  <c r="H23" i="9" s="1"/>
  <c r="D23" i="9"/>
  <c r="I23" i="9" s="1"/>
  <c r="C23" i="9"/>
  <c r="B23" i="9"/>
  <c r="J23" i="9" s="1"/>
  <c r="A23" i="9"/>
  <c r="I22" i="9"/>
  <c r="H22" i="9"/>
  <c r="F22" i="9"/>
  <c r="E22" i="9"/>
  <c r="D22" i="9"/>
  <c r="C22" i="9"/>
  <c r="G23" i="9" s="1"/>
  <c r="B22" i="9"/>
  <c r="J22" i="9" s="1"/>
  <c r="A22" i="9"/>
  <c r="F21" i="9"/>
  <c r="E21" i="9"/>
  <c r="H21" i="9" s="1"/>
  <c r="D21" i="9"/>
  <c r="I21" i="9" s="1"/>
  <c r="K21" i="9" s="1"/>
  <c r="C21" i="9"/>
  <c r="G21" i="9" s="1"/>
  <c r="B21" i="9"/>
  <c r="J21" i="9" s="1"/>
  <c r="A21" i="9"/>
  <c r="G20" i="9"/>
  <c r="F20" i="9"/>
  <c r="E20" i="9"/>
  <c r="H20" i="9" s="1"/>
  <c r="D20" i="9"/>
  <c r="I20" i="9" s="1"/>
  <c r="K20" i="9" s="1"/>
  <c r="C20" i="9"/>
  <c r="B20" i="9"/>
  <c r="J20" i="9" s="1"/>
  <c r="A20" i="9"/>
  <c r="I19" i="9"/>
  <c r="H19" i="9"/>
  <c r="F19" i="9"/>
  <c r="E19" i="9"/>
  <c r="D19" i="9"/>
  <c r="C19" i="9"/>
  <c r="G19" i="9" s="1"/>
  <c r="B19" i="9"/>
  <c r="J19" i="9" s="1"/>
  <c r="A19" i="9"/>
  <c r="F18" i="9"/>
  <c r="E18" i="9"/>
  <c r="H18" i="9" s="1"/>
  <c r="D18" i="9"/>
  <c r="I18" i="9" s="1"/>
  <c r="C18" i="9"/>
  <c r="G18" i="9" s="1"/>
  <c r="B18" i="9"/>
  <c r="J18" i="9" s="1"/>
  <c r="A18" i="9"/>
  <c r="H17" i="9"/>
  <c r="F17" i="9"/>
  <c r="E17" i="9"/>
  <c r="D17" i="9"/>
  <c r="I17" i="9" s="1"/>
  <c r="C17" i="9"/>
  <c r="B17" i="9"/>
  <c r="J17" i="9" s="1"/>
  <c r="A17" i="9"/>
  <c r="I16" i="9"/>
  <c r="H16" i="9"/>
  <c r="F16" i="9"/>
  <c r="E16" i="9"/>
  <c r="D16" i="9"/>
  <c r="C16" i="9"/>
  <c r="G16" i="9" s="1"/>
  <c r="B16" i="9"/>
  <c r="J16" i="9" s="1"/>
  <c r="K16" i="9" s="1"/>
  <c r="A16" i="9"/>
  <c r="F15" i="9"/>
  <c r="E15" i="9"/>
  <c r="H15" i="9" s="1"/>
  <c r="D15" i="9"/>
  <c r="I15" i="9" s="1"/>
  <c r="C15" i="9"/>
  <c r="G15" i="9" s="1"/>
  <c r="B15" i="9"/>
  <c r="J15" i="9" s="1"/>
  <c r="A15" i="9"/>
  <c r="I14" i="9"/>
  <c r="H14" i="9"/>
  <c r="F14" i="9"/>
  <c r="E14" i="9"/>
  <c r="D14" i="9"/>
  <c r="C14" i="9"/>
  <c r="B14" i="9"/>
  <c r="J14" i="9" s="1"/>
  <c r="A14" i="9"/>
  <c r="F13" i="9"/>
  <c r="E13" i="9"/>
  <c r="H13" i="9" s="1"/>
  <c r="D13" i="9"/>
  <c r="I13" i="9" s="1"/>
  <c r="K13" i="9" s="1"/>
  <c r="C13" i="9"/>
  <c r="G13" i="9" s="1"/>
  <c r="B13" i="9"/>
  <c r="J13" i="9" s="1"/>
  <c r="A13" i="9"/>
  <c r="G12" i="9"/>
  <c r="F12" i="9"/>
  <c r="E12" i="9"/>
  <c r="H12" i="9" s="1"/>
  <c r="D12" i="9"/>
  <c r="I12" i="9" s="1"/>
  <c r="K12" i="9" s="1"/>
  <c r="C12" i="9"/>
  <c r="B12" i="9"/>
  <c r="J12" i="9" s="1"/>
  <c r="A12" i="9"/>
  <c r="I11" i="9"/>
  <c r="H11" i="9"/>
  <c r="F11" i="9"/>
  <c r="E11" i="9"/>
  <c r="D11" i="9"/>
  <c r="C11" i="9"/>
  <c r="G11" i="9" s="1"/>
  <c r="B11" i="9"/>
  <c r="J11" i="9" s="1"/>
  <c r="A11" i="9"/>
  <c r="F10" i="9"/>
  <c r="E10" i="9"/>
  <c r="H10" i="9" s="1"/>
  <c r="D10" i="9"/>
  <c r="I10" i="9" s="1"/>
  <c r="C10" i="9"/>
  <c r="G10" i="9" s="1"/>
  <c r="B10" i="9"/>
  <c r="J10" i="9" s="1"/>
  <c r="A10" i="9"/>
  <c r="H9" i="9"/>
  <c r="F9" i="9"/>
  <c r="E9" i="9"/>
  <c r="D9" i="9"/>
  <c r="I9" i="9" s="1"/>
  <c r="C9" i="9"/>
  <c r="B9" i="9"/>
  <c r="J9" i="9" s="1"/>
  <c r="A9" i="9"/>
  <c r="I8" i="9"/>
  <c r="F8" i="9"/>
  <c r="E8" i="9"/>
  <c r="H8" i="9" s="1"/>
  <c r="D8" i="9"/>
  <c r="C8" i="9"/>
  <c r="G8" i="9" s="1"/>
  <c r="B8" i="9"/>
  <c r="J8" i="9" s="1"/>
  <c r="A8" i="9"/>
  <c r="F7" i="9"/>
  <c r="E7" i="9"/>
  <c r="H7" i="9" s="1"/>
  <c r="D7" i="9"/>
  <c r="I7" i="9" s="1"/>
  <c r="C7" i="9"/>
  <c r="G7" i="9" s="1"/>
  <c r="B7" i="9"/>
  <c r="J7" i="9" s="1"/>
  <c r="A7" i="9"/>
  <c r="I6" i="9"/>
  <c r="H6" i="9"/>
  <c r="F6" i="9"/>
  <c r="E6" i="9"/>
  <c r="D6" i="9"/>
  <c r="C6" i="9"/>
  <c r="B6" i="9"/>
  <c r="J6" i="9" s="1"/>
  <c r="A6" i="9"/>
  <c r="F5" i="9"/>
  <c r="E5" i="9"/>
  <c r="H5" i="9" s="1"/>
  <c r="D5" i="9"/>
  <c r="I5" i="9" s="1"/>
  <c r="C5" i="9"/>
  <c r="G5" i="9" s="1"/>
  <c r="B5" i="9"/>
  <c r="J5" i="9" s="1"/>
  <c r="A5" i="9"/>
  <c r="G4" i="9"/>
  <c r="F4" i="9"/>
  <c r="E4" i="9"/>
  <c r="H4" i="9" s="1"/>
  <c r="D4" i="9"/>
  <c r="I4" i="9" s="1"/>
  <c r="C4" i="9"/>
  <c r="B4" i="9"/>
  <c r="J4" i="9" s="1"/>
  <c r="A4" i="9"/>
  <c r="K5" i="9" l="1"/>
  <c r="K11" i="9"/>
  <c r="K19" i="9"/>
  <c r="K15" i="9"/>
  <c r="K23" i="9"/>
  <c r="K31" i="9"/>
  <c r="K45" i="9"/>
  <c r="K15" i="10"/>
  <c r="K18" i="10"/>
  <c r="K7" i="9"/>
  <c r="K37" i="9"/>
  <c r="K44" i="9"/>
  <c r="K48" i="9"/>
  <c r="K32" i="9"/>
  <c r="K34" i="9"/>
  <c r="I27" i="11"/>
  <c r="J27" i="11"/>
  <c r="K6" i="9"/>
  <c r="K8" i="9"/>
  <c r="K10" i="9"/>
  <c r="K18" i="9"/>
  <c r="K26" i="9"/>
  <c r="K24" i="10"/>
  <c r="K4" i="9"/>
  <c r="K47" i="9"/>
  <c r="K23" i="10"/>
  <c r="I6" i="11"/>
  <c r="J6" i="11"/>
  <c r="I35" i="11"/>
  <c r="J35" i="11"/>
  <c r="G27" i="9"/>
  <c r="K27" i="9" s="1"/>
  <c r="G35" i="9"/>
  <c r="K35" i="9" s="1"/>
  <c r="G43" i="9"/>
  <c r="K43" i="9" s="1"/>
  <c r="G51" i="9"/>
  <c r="K51" i="9" s="1"/>
  <c r="J63" i="9"/>
  <c r="K63" i="9" s="1"/>
  <c r="F11" i="15" s="1"/>
  <c r="G64" i="9"/>
  <c r="H65" i="9"/>
  <c r="E13" i="15" s="1"/>
  <c r="D6" i="16"/>
  <c r="I58" i="10"/>
  <c r="B8" i="16"/>
  <c r="H60" i="10"/>
  <c r="K60" i="10" s="1"/>
  <c r="H8" i="16" s="1"/>
  <c r="F14" i="11"/>
  <c r="H14" i="11" s="1"/>
  <c r="E14" i="11"/>
  <c r="G14" i="11" s="1"/>
  <c r="F32" i="11"/>
  <c r="H32" i="11" s="1"/>
  <c r="E32" i="11"/>
  <c r="G32" i="11" s="1"/>
  <c r="G6" i="9"/>
  <c r="G14" i="9"/>
  <c r="K14" i="9" s="1"/>
  <c r="G22" i="9"/>
  <c r="K22" i="9" s="1"/>
  <c r="G30" i="9"/>
  <c r="K30" i="9" s="1"/>
  <c r="G38" i="9"/>
  <c r="K38" i="9" s="1"/>
  <c r="G46" i="9"/>
  <c r="K46" i="9" s="1"/>
  <c r="C6" i="15"/>
  <c r="G58" i="9"/>
  <c r="B4" i="18"/>
  <c r="C15" i="15"/>
  <c r="K43" i="10"/>
  <c r="I56" i="10"/>
  <c r="K56" i="10" s="1"/>
  <c r="H4" i="16" s="1"/>
  <c r="F4" i="16"/>
  <c r="H64" i="10"/>
  <c r="G13" i="16"/>
  <c r="J65" i="10"/>
  <c r="I51" i="11"/>
  <c r="J51" i="11"/>
  <c r="D12" i="17"/>
  <c r="F64" i="11"/>
  <c r="E64" i="11"/>
  <c r="A6" i="12"/>
  <c r="D11" i="15"/>
  <c r="G9" i="9"/>
  <c r="K9" i="9" s="1"/>
  <c r="G17" i="9"/>
  <c r="K17" i="9" s="1"/>
  <c r="G25" i="9"/>
  <c r="K25" i="9" s="1"/>
  <c r="G33" i="9"/>
  <c r="K33" i="9" s="1"/>
  <c r="G41" i="9"/>
  <c r="K41" i="9" s="1"/>
  <c r="G49" i="9"/>
  <c r="K49" i="9" s="1"/>
  <c r="H57" i="9"/>
  <c r="E5" i="15" s="1"/>
  <c r="D10" i="15"/>
  <c r="I62" i="9"/>
  <c r="G15" i="16"/>
  <c r="C9" i="14"/>
  <c r="D9" i="14" s="1"/>
  <c r="C7" i="12"/>
  <c r="J67" i="10"/>
  <c r="I17" i="11"/>
  <c r="J17" i="11"/>
  <c r="J24" i="11"/>
  <c r="I24" i="11"/>
  <c r="J36" i="11"/>
  <c r="I36" i="11"/>
  <c r="J40" i="11"/>
  <c r="I40" i="11"/>
  <c r="I43" i="11"/>
  <c r="J43" i="11"/>
  <c r="F46" i="11"/>
  <c r="H46" i="11" s="1"/>
  <c r="E46" i="11"/>
  <c r="G46" i="11" s="1"/>
  <c r="E8" i="17"/>
  <c r="G60" i="11"/>
  <c r="J64" i="9"/>
  <c r="K64" i="9" s="1"/>
  <c r="F12" i="15" s="1"/>
  <c r="K22" i="10"/>
  <c r="K38" i="10"/>
  <c r="G5" i="16"/>
  <c r="J57" i="10"/>
  <c r="K67" i="10"/>
  <c r="J8" i="11"/>
  <c r="J11" i="11"/>
  <c r="J28" i="11"/>
  <c r="I28" i="11"/>
  <c r="E53" i="11"/>
  <c r="G53" i="11" s="1"/>
  <c r="F53" i="11"/>
  <c r="H53" i="11" s="1"/>
  <c r="C8" i="12"/>
  <c r="G15" i="17"/>
  <c r="C11" i="14"/>
  <c r="D11" i="14" s="1"/>
  <c r="I67" i="11"/>
  <c r="J67" i="11"/>
  <c r="H15" i="17" s="1"/>
  <c r="G53" i="9"/>
  <c r="K53" i="9" s="1"/>
  <c r="K54" i="9"/>
  <c r="I56" i="9"/>
  <c r="K56" i="9" s="1"/>
  <c r="F4" i="15" s="1"/>
  <c r="G57" i="9"/>
  <c r="I66" i="9"/>
  <c r="K44" i="10"/>
  <c r="K58" i="10"/>
  <c r="H6" i="16" s="1"/>
  <c r="G7" i="16"/>
  <c r="J59" i="10"/>
  <c r="I60" i="10"/>
  <c r="F7" i="11"/>
  <c r="H7" i="11" s="1"/>
  <c r="F10" i="11"/>
  <c r="H10" i="11" s="1"/>
  <c r="E10" i="11"/>
  <c r="G10" i="11" s="1"/>
  <c r="E13" i="11"/>
  <c r="G13" i="11" s="1"/>
  <c r="F13" i="11"/>
  <c r="H13" i="11" s="1"/>
  <c r="F26" i="11"/>
  <c r="H26" i="11" s="1"/>
  <c r="E26" i="11"/>
  <c r="G26" i="11" s="1"/>
  <c r="F30" i="11"/>
  <c r="H30" i="11" s="1"/>
  <c r="E30" i="11"/>
  <c r="G30" i="11" s="1"/>
  <c r="J31" i="11"/>
  <c r="I49" i="11"/>
  <c r="J49" i="11"/>
  <c r="H59" i="11"/>
  <c r="F7" i="17"/>
  <c r="F8" i="16"/>
  <c r="J56" i="9"/>
  <c r="I57" i="9"/>
  <c r="C8" i="15"/>
  <c r="G60" i="9"/>
  <c r="J61" i="9"/>
  <c r="K61" i="9" s="1"/>
  <c r="F9" i="15" s="1"/>
  <c r="G62" i="9"/>
  <c r="J66" i="9"/>
  <c r="G67" i="9"/>
  <c r="C5" i="12" s="1"/>
  <c r="I30" i="10"/>
  <c r="K30" i="10" s="1"/>
  <c r="K59" i="10"/>
  <c r="H7" i="16" s="1"/>
  <c r="G9" i="16"/>
  <c r="J61" i="10"/>
  <c r="K61" i="10" s="1"/>
  <c r="H9" i="16" s="1"/>
  <c r="F10" i="16"/>
  <c r="I62" i="10"/>
  <c r="J16" i="11"/>
  <c r="I16" i="11"/>
  <c r="J20" i="11"/>
  <c r="I20" i="11"/>
  <c r="I23" i="11"/>
  <c r="J23" i="11"/>
  <c r="I33" i="11"/>
  <c r="J33" i="11"/>
  <c r="J56" i="11"/>
  <c r="H4" i="17" s="1"/>
  <c r="G4" i="17"/>
  <c r="I56" i="11"/>
  <c r="F62" i="11"/>
  <c r="E62" i="11"/>
  <c r="D10" i="17"/>
  <c r="I58" i="9"/>
  <c r="K58" i="9" s="1"/>
  <c r="F6" i="15" s="1"/>
  <c r="D8" i="15"/>
  <c r="I60" i="9"/>
  <c r="G63" i="9"/>
  <c r="I36" i="10"/>
  <c r="K36" i="10" s="1"/>
  <c r="I52" i="10"/>
  <c r="K52" i="10" s="1"/>
  <c r="D14" i="16"/>
  <c r="I66" i="10"/>
  <c r="K66" i="10" s="1"/>
  <c r="H14" i="16" s="1"/>
  <c r="F5" i="11"/>
  <c r="H5" i="11" s="1"/>
  <c r="E5" i="11"/>
  <c r="G5" i="11" s="1"/>
  <c r="E37" i="11"/>
  <c r="G37" i="11" s="1"/>
  <c r="F37" i="11"/>
  <c r="H37" i="11" s="1"/>
  <c r="I55" i="11"/>
  <c r="J55" i="11"/>
  <c r="H65" i="11"/>
  <c r="F13" i="17"/>
  <c r="G52" i="9"/>
  <c r="K52" i="9" s="1"/>
  <c r="J58" i="9"/>
  <c r="G59" i="9"/>
  <c r="J62" i="9"/>
  <c r="C14" i="15"/>
  <c r="G66" i="9"/>
  <c r="A7" i="12"/>
  <c r="A8" i="12"/>
  <c r="A4" i="12"/>
  <c r="B4" i="20"/>
  <c r="A5" i="12"/>
  <c r="K51" i="10"/>
  <c r="I64" i="10"/>
  <c r="F12" i="16"/>
  <c r="F9" i="11"/>
  <c r="H9" i="11" s="1"/>
  <c r="E9" i="11"/>
  <c r="G9" i="11" s="1"/>
  <c r="F12" i="11"/>
  <c r="H12" i="11" s="1"/>
  <c r="E12" i="11"/>
  <c r="G12" i="11" s="1"/>
  <c r="I15" i="11"/>
  <c r="J15" i="11"/>
  <c r="E25" i="11"/>
  <c r="G25" i="11" s="1"/>
  <c r="F25" i="11"/>
  <c r="H25" i="11" s="1"/>
  <c r="J44" i="11"/>
  <c r="I44" i="11"/>
  <c r="F48" i="11"/>
  <c r="H48" i="11" s="1"/>
  <c r="E48" i="11"/>
  <c r="G48" i="11" s="1"/>
  <c r="J52" i="11"/>
  <c r="I52" i="11"/>
  <c r="J59" i="9"/>
  <c r="K59" i="9" s="1"/>
  <c r="F7" i="15" s="1"/>
  <c r="B6" i="18"/>
  <c r="C5" i="14"/>
  <c r="D5" i="14" s="1"/>
  <c r="B15" i="15"/>
  <c r="J67" i="9"/>
  <c r="K67" i="9" s="1"/>
  <c r="H57" i="10"/>
  <c r="H65" i="10"/>
  <c r="F50" i="11"/>
  <c r="H50" i="11" s="1"/>
  <c r="E50" i="11"/>
  <c r="G50" i="11" s="1"/>
  <c r="J7" i="14"/>
  <c r="I7" i="14"/>
  <c r="G7" i="14"/>
  <c r="J8" i="14"/>
  <c r="B9" i="16"/>
  <c r="I57" i="10"/>
  <c r="J62" i="10"/>
  <c r="K62" i="10" s="1"/>
  <c r="H10" i="16" s="1"/>
  <c r="I65" i="10"/>
  <c r="I21" i="11"/>
  <c r="F38" i="11"/>
  <c r="H38" i="11" s="1"/>
  <c r="E38" i="11"/>
  <c r="G38" i="11" s="1"/>
  <c r="I41" i="11"/>
  <c r="E61" i="11"/>
  <c r="D9" i="17"/>
  <c r="J57" i="9"/>
  <c r="J65" i="9"/>
  <c r="K65" i="9" s="1"/>
  <c r="F13" i="15" s="1"/>
  <c r="C4" i="12"/>
  <c r="B5" i="20"/>
  <c r="B5" i="18"/>
  <c r="C6" i="14"/>
  <c r="D6" i="14" s="1"/>
  <c r="H63" i="10"/>
  <c r="K63" i="10" s="1"/>
  <c r="H11" i="16" s="1"/>
  <c r="F18" i="11"/>
  <c r="H18" i="11" s="1"/>
  <c r="E18" i="11"/>
  <c r="G18" i="11" s="1"/>
  <c r="J21" i="11"/>
  <c r="F29" i="11"/>
  <c r="H29" i="11" s="1"/>
  <c r="J41" i="11"/>
  <c r="F58" i="11"/>
  <c r="E58" i="11"/>
  <c r="D6" i="17"/>
  <c r="F61" i="11"/>
  <c r="H63" i="11"/>
  <c r="C8" i="14"/>
  <c r="D8" i="14" s="1"/>
  <c r="B6" i="20"/>
  <c r="C6" i="12"/>
  <c r="F34" i="11"/>
  <c r="H34" i="11" s="1"/>
  <c r="E34" i="11"/>
  <c r="G34" i="11" s="1"/>
  <c r="E57" i="11"/>
  <c r="D5" i="17"/>
  <c r="F66" i="11"/>
  <c r="E66" i="11"/>
  <c r="D14" i="17"/>
  <c r="F15" i="16"/>
  <c r="F54" i="11"/>
  <c r="H54" i="11" s="1"/>
  <c r="E54" i="11"/>
  <c r="G54" i="11" s="1"/>
  <c r="F57" i="11"/>
  <c r="J60" i="11"/>
  <c r="H8" i="17" s="1"/>
  <c r="G8" i="17"/>
  <c r="I60" i="11"/>
  <c r="I6" i="14"/>
  <c r="G6" i="14"/>
  <c r="F22" i="11"/>
  <c r="H22" i="11" s="1"/>
  <c r="E22" i="11"/>
  <c r="G22" i="11" s="1"/>
  <c r="F42" i="11"/>
  <c r="H42" i="11" s="1"/>
  <c r="E42" i="11"/>
  <c r="G42" i="11" s="1"/>
  <c r="E4" i="17"/>
  <c r="G56" i="11"/>
  <c r="E65" i="11"/>
  <c r="D13" i="17"/>
  <c r="G8" i="14"/>
  <c r="D15" i="17"/>
  <c r="J54" i="11" l="1"/>
  <c r="I54" i="11"/>
  <c r="E6" i="12"/>
  <c r="H7" i="14" s="1"/>
  <c r="D6" i="12"/>
  <c r="I5" i="11"/>
  <c r="J5" i="11"/>
  <c r="E12" i="17"/>
  <c r="G64" i="11"/>
  <c r="J14" i="11"/>
  <c r="I14" i="11"/>
  <c r="J22" i="11"/>
  <c r="I22" i="11"/>
  <c r="I34" i="11"/>
  <c r="J34" i="11"/>
  <c r="F15" i="15"/>
  <c r="C4" i="14"/>
  <c r="D4" i="14" s="1"/>
  <c r="J48" i="11"/>
  <c r="I48" i="11"/>
  <c r="G65" i="11"/>
  <c r="E13" i="17"/>
  <c r="I9" i="11"/>
  <c r="J9" i="11"/>
  <c r="K66" i="9"/>
  <c r="F14" i="15" s="1"/>
  <c r="H15" i="16"/>
  <c r="C7" i="14"/>
  <c r="D7" i="14" s="1"/>
  <c r="H64" i="11"/>
  <c r="F12" i="17"/>
  <c r="I25" i="11"/>
  <c r="J25" i="11"/>
  <c r="I65" i="11"/>
  <c r="G13" i="17"/>
  <c r="J65" i="11"/>
  <c r="H13" i="17" s="1"/>
  <c r="G62" i="11"/>
  <c r="E10" i="17"/>
  <c r="I10" i="11"/>
  <c r="J10" i="11"/>
  <c r="E8" i="12"/>
  <c r="H9" i="14" s="1"/>
  <c r="D8" i="12"/>
  <c r="I29" i="11"/>
  <c r="J29" i="11"/>
  <c r="D4" i="12"/>
  <c r="E4" i="12"/>
  <c r="J38" i="11"/>
  <c r="I38" i="11"/>
  <c r="F14" i="17"/>
  <c r="H66" i="11"/>
  <c r="G11" i="17"/>
  <c r="I63" i="11"/>
  <c r="J63" i="11"/>
  <c r="H11" i="17" s="1"/>
  <c r="F10" i="17"/>
  <c r="H62" i="11"/>
  <c r="K57" i="9"/>
  <c r="F5" i="15" s="1"/>
  <c r="J7" i="11"/>
  <c r="I7" i="11"/>
  <c r="I53" i="11"/>
  <c r="J53" i="11"/>
  <c r="J46" i="11"/>
  <c r="I46" i="11"/>
  <c r="J12" i="11"/>
  <c r="I12" i="11"/>
  <c r="H61" i="11"/>
  <c r="F9" i="17"/>
  <c r="I18" i="11"/>
  <c r="J18" i="11"/>
  <c r="I50" i="11"/>
  <c r="J50" i="11"/>
  <c r="J30" i="11"/>
  <c r="I30" i="11"/>
  <c r="G66" i="11"/>
  <c r="E14" i="17"/>
  <c r="J42" i="11"/>
  <c r="I42" i="11"/>
  <c r="H57" i="11"/>
  <c r="F5" i="17"/>
  <c r="G57" i="11"/>
  <c r="E5" i="17"/>
  <c r="K65" i="10"/>
  <c r="H13" i="16" s="1"/>
  <c r="I37" i="11"/>
  <c r="J37" i="11"/>
  <c r="E5" i="12"/>
  <c r="H6" i="14" s="1"/>
  <c r="D5" i="12"/>
  <c r="K62" i="9"/>
  <c r="F10" i="15" s="1"/>
  <c r="F6" i="17"/>
  <c r="H58" i="11"/>
  <c r="G58" i="11"/>
  <c r="E6" i="17"/>
  <c r="G61" i="11"/>
  <c r="E9" i="17"/>
  <c r="K57" i="10"/>
  <c r="H5" i="16" s="1"/>
  <c r="K60" i="9"/>
  <c r="F8" i="15" s="1"/>
  <c r="J26" i="11"/>
  <c r="I26" i="11"/>
  <c r="J32" i="11"/>
  <c r="I32" i="11"/>
  <c r="G7" i="17"/>
  <c r="I59" i="11"/>
  <c r="J59" i="11"/>
  <c r="H7" i="17" s="1"/>
  <c r="I13" i="11"/>
  <c r="J13" i="11"/>
  <c r="E7" i="12"/>
  <c r="H8" i="14" s="1"/>
  <c r="D7" i="12"/>
  <c r="K64" i="10"/>
  <c r="H12" i="16" s="1"/>
  <c r="G14" i="17" l="1"/>
  <c r="I66" i="11"/>
  <c r="J66" i="11"/>
  <c r="H14" i="17" s="1"/>
  <c r="G6" i="17"/>
  <c r="J58" i="11"/>
  <c r="H6" i="17" s="1"/>
  <c r="I58" i="11"/>
  <c r="G10" i="17"/>
  <c r="J62" i="11"/>
  <c r="H10" i="17" s="1"/>
  <c r="I62" i="11"/>
  <c r="I61" i="11"/>
  <c r="G9" i="17"/>
  <c r="J61" i="11"/>
  <c r="H9" i="17" s="1"/>
  <c r="H5" i="14"/>
  <c r="J64" i="11"/>
  <c r="H12" i="17" s="1"/>
  <c r="G12" i="17"/>
  <c r="I64" i="11"/>
  <c r="I57" i="11"/>
  <c r="G5" i="17"/>
  <c r="J57" i="11"/>
  <c r="H5" i="17" s="1"/>
  <c r="D6" i="18"/>
  <c r="C6" i="18"/>
  <c r="E6" i="18"/>
  <c r="E5" i="18"/>
  <c r="C5" i="18"/>
  <c r="D5" i="18"/>
  <c r="D4" i="18"/>
  <c r="C4" i="18"/>
  <c r="E4" i="18"/>
</calcChain>
</file>

<file path=xl/sharedStrings.xml><?xml version="1.0" encoding="utf-8"?>
<sst xmlns="http://schemas.openxmlformats.org/spreadsheetml/2006/main" count="671" uniqueCount="261">
  <si>
    <t>ABBank Business Intelligence System - Master Workbook</t>
  </si>
  <si>
    <t>Mục tiêu</t>
  </si>
  <si>
    <t>Hệ thống BI bao phủ Vĩ mô → Ngành ngân hàng → ABBank → Treasury → Khuyến nghị hành động.</t>
  </si>
  <si>
    <t>Cách dùng</t>
  </si>
  <si>
    <t>Nhập/cập nhật dữ liệu tại các sheet INPUT_*. Các sheet PROC_* và DASH_* tự tổng hợp bằng công thức.</t>
  </si>
  <si>
    <t>Tần suất</t>
  </si>
  <si>
    <t>Macro: tháng; Industry: quý; ABBank: tháng; Treasury: ngày/tháng; Scenario: theo giả định quản trị.</t>
  </si>
  <si>
    <t>Danh mục mẫu</t>
  </si>
  <si>
    <t>Quy mô danh mục Treasury mặc định 50.000 tỷ VND; vốn Treasury 20.000 tỷ VND.</t>
  </si>
  <si>
    <t>Lưu ý</t>
  </si>
  <si>
    <t>Các dữ liệu trong file là dữ liệu mẫu để dựng cấu trúc. Khi triển khai thật cần thay bằng số liệu ABBank/NHNN/GSO/VBMA/peer banks.</t>
  </si>
  <si>
    <t>Configuration &amp; Thresholds</t>
  </si>
  <si>
    <t>Parameter</t>
  </si>
  <si>
    <t>Value</t>
  </si>
  <si>
    <t>Unit</t>
  </si>
  <si>
    <t>Meaning</t>
  </si>
  <si>
    <t>Owner</t>
  </si>
  <si>
    <t>portfolio_size</t>
  </si>
  <si>
    <t>tỷ VND</t>
  </si>
  <si>
    <t>Quy mô danh mục Treasury</t>
  </si>
  <si>
    <t>Treasury</t>
  </si>
  <si>
    <t>treasury_capital</t>
  </si>
  <si>
    <t>Vốn Treasury dùng cho risk appetite</t>
  </si>
  <si>
    <t>vnibor_yellow</t>
  </si>
  <si>
    <t>%</t>
  </si>
  <si>
    <t>Ngưỡng cảnh báo VNIBOR ON vàng</t>
  </si>
  <si>
    <t>ALM</t>
  </si>
  <si>
    <t>vnibor_red</t>
  </si>
  <si>
    <t>Ngưỡng cảnh báo VNIBOR ON đỏ</t>
  </si>
  <si>
    <t>fx_yellow</t>
  </si>
  <si>
    <t>% MoM</t>
  </si>
  <si>
    <t>Ngưỡng cảnh báo biến động USD/VND vàng</t>
  </si>
  <si>
    <t>fx_red</t>
  </si>
  <si>
    <t>Ngưỡng cảnh báo biến động USD/VND đỏ</t>
  </si>
  <si>
    <t>ldr_yellow</t>
  </si>
  <si>
    <t>Ngưỡng LDR vàng</t>
  </si>
  <si>
    <t>Finance</t>
  </si>
  <si>
    <t>ldr_red</t>
  </si>
  <si>
    <t>Ngưỡng LDR đỏ</t>
  </si>
  <si>
    <t>npl_yellow</t>
  </si>
  <si>
    <t>Ngưỡng NPL vàng</t>
  </si>
  <si>
    <t>Risk</t>
  </si>
  <si>
    <t>npl_red</t>
  </si>
  <si>
    <t>Ngưỡng NPL đỏ</t>
  </si>
  <si>
    <t>stress_limit_yellow</t>
  </si>
  <si>
    <t>% capital</t>
  </si>
  <si>
    <t>Loss/tổng vốn Treasury - vàng</t>
  </si>
  <si>
    <t>stress_limit_red</t>
  </si>
  <si>
    <t>Loss/tổng vốn Treasury - đỏ</t>
  </si>
  <si>
    <t>Suggested Data Sources</t>
  </si>
  <si>
    <t>Data area</t>
  </si>
  <si>
    <t>Primary source</t>
  </si>
  <si>
    <t>URL</t>
  </si>
  <si>
    <t>Notes</t>
  </si>
  <si>
    <t>Macro / monetary policy</t>
  </si>
  <si>
    <t>State Bank of Vietnam</t>
  </si>
  <si>
    <t>https://www.sbv.gov.vn</t>
  </si>
  <si>
    <t>Policy rate, credit, money market commentary</t>
  </si>
  <si>
    <t>GDP / CPI / trade / retail</t>
  </si>
  <si>
    <t>General Statistics Office of Vietnam</t>
  </si>
  <si>
    <t>https://www.nso.gov.vn</t>
  </si>
  <si>
    <t>Monthly/quarterly macro releases</t>
  </si>
  <si>
    <t>Bond market / yield curve</t>
  </si>
  <si>
    <t>Vietnam Bond Market Association</t>
  </si>
  <si>
    <t>https://vbma.org.vn</t>
  </si>
  <si>
    <t>Bond yields, market updates</t>
  </si>
  <si>
    <t>Peer banks</t>
  </si>
  <si>
    <t>Published financial statements / investor relations</t>
  </si>
  <si>
    <t>https://www.hnx.vn / https://www.hsx.vn</t>
  </si>
  <si>
    <t>Quarterly peer benchmarking</t>
  </si>
  <si>
    <t>ABBank internal</t>
  </si>
  <si>
    <t>MIS / Finance / Risk / Treasury internal systems</t>
  </si>
  <si>
    <t>Internal</t>
  </si>
  <si>
    <t>Replace sample data with governed internal data</t>
  </si>
  <si>
    <t>INPUT_MACRO - Monthly Macro &amp; Market Data</t>
  </si>
  <si>
    <t>date</t>
  </si>
  <si>
    <t>gdp_growth</t>
  </si>
  <si>
    <t>cpi</t>
  </si>
  <si>
    <t>core_cpi</t>
  </si>
  <si>
    <t>industrial_production</t>
  </si>
  <si>
    <t>retail_sales</t>
  </si>
  <si>
    <t>export_growth</t>
  </si>
  <si>
    <t>import_growth</t>
  </si>
  <si>
    <t>usd_vnd</t>
  </si>
  <si>
    <t>policy_rate</t>
  </si>
  <si>
    <t>omo</t>
  </si>
  <si>
    <t>tin_phieu</t>
  </si>
  <si>
    <t>vnibor_on</t>
  </si>
  <si>
    <t>vnibor_1w</t>
  </si>
  <si>
    <t>credit_growth</t>
  </si>
  <si>
    <t>deposit_growth</t>
  </si>
  <si>
    <t>INPUT_INDUSTRY - Quarterly Peer Bank Metrics</t>
  </si>
  <si>
    <t>bank</t>
  </si>
  <si>
    <t>loan_growth</t>
  </si>
  <si>
    <t>nim</t>
  </si>
  <si>
    <t>casa</t>
  </si>
  <si>
    <t>npl</t>
  </si>
  <si>
    <t>ldr</t>
  </si>
  <si>
    <t>car</t>
  </si>
  <si>
    <t>roa</t>
  </si>
  <si>
    <t>roe</t>
  </si>
  <si>
    <t>cir</t>
  </si>
  <si>
    <t>ABB</t>
  </si>
  <si>
    <t>ACB</t>
  </si>
  <si>
    <t>MBB</t>
  </si>
  <si>
    <t>TCB</t>
  </si>
  <si>
    <t>VPB</t>
  </si>
  <si>
    <t>HDB</t>
  </si>
  <si>
    <t>VIB</t>
  </si>
  <si>
    <t>OCB</t>
  </si>
  <si>
    <t>INPUT_ABBANK - Monthly Business Performance</t>
  </si>
  <si>
    <t>loan</t>
  </si>
  <si>
    <t>deposit</t>
  </si>
  <si>
    <t>asset_yield</t>
  </si>
  <si>
    <t>cost_of_funds</t>
  </si>
  <si>
    <t>provision_coverage</t>
  </si>
  <si>
    <t>pbt</t>
  </si>
  <si>
    <t>INPUT_TREASURY - Daily/Monthly Treasury Portfolio</t>
  </si>
  <si>
    <t>duration</t>
  </si>
  <si>
    <t>dv01</t>
  </si>
  <si>
    <t>mtm_pnl</t>
  </si>
  <si>
    <t>fx_position</t>
  </si>
  <si>
    <t>usd_assets</t>
  </si>
  <si>
    <t>usd_liabilities</t>
  </si>
  <si>
    <t>liquidity_gap_7d</t>
  </si>
  <si>
    <t>liquidity_gap_30d</t>
  </si>
  <si>
    <t>INPUT_SCENARIO - Stress Assumptions</t>
  </si>
  <si>
    <t>scenario</t>
  </si>
  <si>
    <t>shock_rate_bps</t>
  </si>
  <si>
    <t>shock_fx_pct</t>
  </si>
  <si>
    <t>shock_npl_pct</t>
  </si>
  <si>
    <t>description</t>
  </si>
  <si>
    <t>base</t>
  </si>
  <si>
    <t>Không có cú sốc; dùng làm baseline</t>
  </si>
  <si>
    <t>stress</t>
  </si>
  <si>
    <t>Thanh khoản thắt chặt, tỷ giá chịu áp lực vừa</t>
  </si>
  <si>
    <t>crisis</t>
  </si>
  <si>
    <t>Cú sốc lãi suất/tỷ giá mạnh, NPL tăng rõ</t>
  </si>
  <si>
    <t>PROC_MACRO - Macro Signals &amp; Score</t>
  </si>
  <si>
    <t>fx_mom_pct</t>
  </si>
  <si>
    <t>credit_deposit_gap</t>
  </si>
  <si>
    <t>liquidity_pressure</t>
  </si>
  <si>
    <t>inflation_pressure</t>
  </si>
  <si>
    <t>macro_score</t>
  </si>
  <si>
    <t>PROC_ABBANK - ABBank Scorecard</t>
  </si>
  <si>
    <t>growth_score</t>
  </si>
  <si>
    <t>funding_score</t>
  </si>
  <si>
    <t>asset_quality_score</t>
  </si>
  <si>
    <t>abbank_score</t>
  </si>
  <si>
    <t>PROC_TREASURY - Duration, DV01 &amp; Stress</t>
  </si>
  <si>
    <t>stress_loss_100bps</t>
  </si>
  <si>
    <t>stress_loss_200bps</t>
  </si>
  <si>
    <t>loss_100bps_pct_capital</t>
  </si>
  <si>
    <t>loss_200bps_pct_capital</t>
  </si>
  <si>
    <t>treasury_risk_score</t>
  </si>
  <si>
    <t>risk_level</t>
  </si>
  <si>
    <t>PROC_SIGNAL - Early Warning Signals</t>
  </si>
  <si>
    <t>signal</t>
  </si>
  <si>
    <t>metric_value</t>
  </si>
  <si>
    <t>status</t>
  </si>
  <si>
    <t>level</t>
  </si>
  <si>
    <t>comment</t>
  </si>
  <si>
    <t>PROC_RECOMMENDATION - Action Engine</t>
  </si>
  <si>
    <t>priority</t>
  </si>
  <si>
    <t>trigger</t>
  </si>
  <si>
    <t>recommended_action</t>
  </si>
  <si>
    <t>owner</t>
  </si>
  <si>
    <t>rationale</t>
  </si>
  <si>
    <t>VNIBOR spike</t>
  </si>
  <si>
    <t>Giữ duration ngắn; hạn chế tăng vị thế bond dài hạn</t>
  </si>
  <si>
    <t>VNIBOR cao thường làm tăng risk premium và gây MTM loss cho duration dài.</t>
  </si>
  <si>
    <t>FX pressure</t>
  </si>
  <si>
    <t>Theo dõi trạng thái USD; cân nhắc hedge/giảm trạng thái mở</t>
  </si>
  <si>
    <t>Biến động tỷ giá có thể ảnh hưởng thanh khoản ngoại tệ và tâm lý huy động.</t>
  </si>
  <si>
    <t>LDR high</t>
  </si>
  <si>
    <t>Kiểm soát tăng trưởng tín dụng; ưu tiên huy động CASA/kỳ hạn bền vững</t>
  </si>
  <si>
    <t>Finance/ALM</t>
  </si>
  <si>
    <t>LDR cao làm giảm dư địa thanh khoản và tăng cạnh tranh huy động.</t>
  </si>
  <si>
    <t>NPL risk</t>
  </si>
  <si>
    <t>Rà soát phân khúc rủi ro; tăng cảnh báo sớm tín dụng</t>
  </si>
  <si>
    <t>Risk/Business</t>
  </si>
  <si>
    <t>NPL tăng làm tăng provisioning và giảm ROA/ROE.</t>
  </si>
  <si>
    <t>Treasury stress loss</t>
  </si>
  <si>
    <t>Giảm DV01 hoặc đặt stop-loss theo vốn Treasury</t>
  </si>
  <si>
    <t>Treasury/Risk</t>
  </si>
  <si>
    <t>Stress loss vượt risk appetite làm suy giảm vốn chịu rủi ro của Treasury.</t>
  </si>
  <si>
    <t>DASH_EXECUTIVE - CEO 3-Minute View</t>
  </si>
  <si>
    <t>Area</t>
  </si>
  <si>
    <t>Metric</t>
  </si>
  <si>
    <t>Latest</t>
  </si>
  <si>
    <t>Status/Score</t>
  </si>
  <si>
    <t>Interpretation</t>
  </si>
  <si>
    <t>Top Alerts &amp; Recommended Actions</t>
  </si>
  <si>
    <t>Macro</t>
  </si>
  <si>
    <t>Macro score</t>
  </si>
  <si>
    <t>Điểm vĩ mô tổng hợp từ lạm phát, thanh khoản, tỷ giá</t>
  </si>
  <si>
    <t>Signal</t>
  </si>
  <si>
    <t>Level</t>
  </si>
  <si>
    <t>Action</t>
  </si>
  <si>
    <t>CPI</t>
  </si>
  <si>
    <t>Áp lực lạm phát</t>
  </si>
  <si>
    <t>VNIBOR ON</t>
  </si>
  <si>
    <t>Áp lực thanh khoản ngắn hạn</t>
  </si>
  <si>
    <t>ABBank</t>
  </si>
  <si>
    <t>ABBank score</t>
  </si>
  <si>
    <t>Điểm tổng hợp tăng trưởng, funding, chất lượng tài sản</t>
  </si>
  <si>
    <t>LDR</t>
  </si>
  <si>
    <t>Sức ép huy động/cho vay</t>
  </si>
  <si>
    <t>NPL</t>
  </si>
  <si>
    <t>Chất lượng tài sản</t>
  </si>
  <si>
    <t>DV01</t>
  </si>
  <si>
    <t>P&amp;L sensitivity trên mỗi 1bp</t>
  </si>
  <si>
    <t>Stress loss 200bps / capital</t>
  </si>
  <si>
    <t>Mức lỗ stress so với vốn Treasury</t>
  </si>
  <si>
    <t>DASH_MACRO - Macro &amp; Money Market</t>
  </si>
  <si>
    <t>USD/VND</t>
  </si>
  <si>
    <t>Credit-deposit gap</t>
  </si>
  <si>
    <t>DASH_ABBANK - ABBank Core Business</t>
  </si>
  <si>
    <t>Loan growth</t>
  </si>
  <si>
    <t>Deposit growth</t>
  </si>
  <si>
    <t>CASA</t>
  </si>
  <si>
    <t>NIM</t>
  </si>
  <si>
    <t>DASH_TREASURY - Portfolio Risk</t>
  </si>
  <si>
    <t>Portfolio size</t>
  </si>
  <si>
    <t>Duration</t>
  </si>
  <si>
    <t>Stress loss 100bps</t>
  </si>
  <si>
    <t>Stress loss 200bps</t>
  </si>
  <si>
    <t>Loss 200bps / capital</t>
  </si>
  <si>
    <t>Risk level</t>
  </si>
  <si>
    <t>DASH_FORECAST - Forecast &amp; Scenario Placeholder</t>
  </si>
  <si>
    <t>Forecast item</t>
  </si>
  <si>
    <t>Current</t>
  </si>
  <si>
    <t>Base forecast</t>
  </si>
  <si>
    <t>Upside</t>
  </si>
  <si>
    <t>Downside</t>
  </si>
  <si>
    <t>Model note</t>
  </si>
  <si>
    <t>Placeholder: replace by model output</t>
  </si>
  <si>
    <t>DASH_STRATEGY - Strategic Recommendations</t>
  </si>
  <si>
    <t>Priority</t>
  </si>
  <si>
    <t>Recommendation</t>
  </si>
  <si>
    <t>Rationale</t>
  </si>
  <si>
    <t>CEO Morning Brief - Auto Narrative Template</t>
  </si>
  <si>
    <t>Section</t>
  </si>
  <si>
    <t>Auto narrative</t>
  </si>
  <si>
    <t>1. Tóm tắt thị trường</t>
  </si>
  <si>
    <t>2. Hàm ý ngành</t>
  </si>
  <si>
    <t>3. Hàm ý ABBank</t>
  </si>
  <si>
    <t>4. Cảnh báo chính</t>
  </si>
  <si>
    <t>5. Hành động đề xuất</t>
  </si>
  <si>
    <t>FORECAST_HISTORY - Model Output Log</t>
  </si>
  <si>
    <t>run_date</t>
  </si>
  <si>
    <t>forecast_date</t>
  </si>
  <si>
    <t>variable</t>
  </si>
  <si>
    <t>model</t>
  </si>
  <si>
    <t>forecast</t>
  </si>
  <si>
    <t>lower_band</t>
  </si>
  <si>
    <t>upper_band</t>
  </si>
  <si>
    <t>actual</t>
  </si>
  <si>
    <t>error</t>
  </si>
  <si>
    <t>ALERT_LOG - Breach &amp; Watch Log</t>
  </si>
  <si>
    <t>action_taken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</si>
</sst>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0"/>
      <color rgb="FF1F1F1F"/>
      <name val="Carlito"/>
    </font>
    <font>
      <b/>
      <sz val="12"/>
      <color rgb="FF1F4E79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EEF6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sqref="A1:H1"/>
    </sheetView>
  </sheetViews>
  <sheetFormatPr defaultRowHeight="14.25"/>
  <cols>
    <col min="1" max="1" width="18" customWidth="1"/>
    <col min="2" max="2" width="92" customWidth="1"/>
  </cols>
  <sheetData>
    <row r="1" spans="1:8" ht="27.95" customHeight="1">
      <c r="A1" s="10" t="s">
        <v>0</v>
      </c>
      <c r="B1" s="10" t="s">
        <v>0</v>
      </c>
      <c r="C1" s="10" t="s">
        <v>0</v>
      </c>
      <c r="D1" s="10" t="s">
        <v>0</v>
      </c>
      <c r="E1" s="10" t="s">
        <v>0</v>
      </c>
      <c r="F1" s="10" t="s">
        <v>0</v>
      </c>
      <c r="G1" s="10" t="s">
        <v>0</v>
      </c>
      <c r="H1" s="10" t="s">
        <v>0</v>
      </c>
    </row>
    <row r="3" spans="1:8" ht="15">
      <c r="A3" s="1" t="s">
        <v>1</v>
      </c>
      <c r="B3" s="2" t="s">
        <v>2</v>
      </c>
    </row>
    <row r="4" spans="1:8" ht="15">
      <c r="A4" s="1" t="s">
        <v>3</v>
      </c>
      <c r="B4" s="2" t="s">
        <v>4</v>
      </c>
    </row>
    <row r="5" spans="1:8" ht="15">
      <c r="A5" s="1" t="s">
        <v>5</v>
      </c>
      <c r="B5" s="2" t="s">
        <v>6</v>
      </c>
    </row>
    <row r="6" spans="1:8" ht="15">
      <c r="A6" s="1" t="s">
        <v>7</v>
      </c>
      <c r="B6" s="2" t="s">
        <v>8</v>
      </c>
    </row>
    <row r="7" spans="1:8" ht="29.25">
      <c r="A7" s="1" t="s">
        <v>9</v>
      </c>
      <c r="B7" s="2" t="s">
        <v>10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sqref="A1:E1"/>
    </sheetView>
  </sheetViews>
  <sheetFormatPr defaultRowHeight="14.25"/>
  <cols>
    <col min="1" max="1" width="16.25" customWidth="1"/>
    <col min="2" max="2" width="12.5" customWidth="1"/>
    <col min="3" max="3" width="7.625" customWidth="1"/>
    <col min="4" max="4" width="48" customWidth="1"/>
    <col min="5" max="5" width="10.625" customWidth="1"/>
  </cols>
  <sheetData>
    <row r="1" spans="1:5" ht="27.95" customHeight="1">
      <c r="A1" s="10" t="s">
        <v>11</v>
      </c>
      <c r="B1" s="10" t="s">
        <v>11</v>
      </c>
      <c r="C1" s="10" t="s">
        <v>11</v>
      </c>
      <c r="D1" s="10" t="s">
        <v>11</v>
      </c>
      <c r="E1" s="10" t="s">
        <v>11</v>
      </c>
    </row>
    <row r="3" spans="1: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</row>
    <row r="4" spans="1:5">
      <c r="A4" s="4" t="s">
        <v>17</v>
      </c>
      <c r="B4" s="4">
        <v>50000</v>
      </c>
      <c r="C4" t="s">
        <v>18</v>
      </c>
      <c r="D4" t="s">
        <v>19</v>
      </c>
      <c r="E4" t="s">
        <v>20</v>
      </c>
    </row>
    <row r="5" spans="1:5">
      <c r="A5" s="4" t="s">
        <v>21</v>
      </c>
      <c r="B5" s="4">
        <v>20000</v>
      </c>
      <c r="C5" t="s">
        <v>18</v>
      </c>
      <c r="D5" t="s">
        <v>22</v>
      </c>
      <c r="E5" t="s">
        <v>20</v>
      </c>
    </row>
    <row r="6" spans="1:5">
      <c r="A6" s="4" t="s">
        <v>23</v>
      </c>
      <c r="B6" s="4">
        <v>4.5</v>
      </c>
      <c r="C6" t="s">
        <v>24</v>
      </c>
      <c r="D6" t="s">
        <v>25</v>
      </c>
      <c r="E6" t="s">
        <v>26</v>
      </c>
    </row>
    <row r="7" spans="1:5">
      <c r="A7" s="4" t="s">
        <v>27</v>
      </c>
      <c r="B7" s="4">
        <v>5.5</v>
      </c>
      <c r="C7" t="s">
        <v>24</v>
      </c>
      <c r="D7" t="s">
        <v>28</v>
      </c>
      <c r="E7" t="s">
        <v>26</v>
      </c>
    </row>
    <row r="8" spans="1:5">
      <c r="A8" s="4" t="s">
        <v>29</v>
      </c>
      <c r="B8" s="4">
        <v>1.5</v>
      </c>
      <c r="C8" t="s">
        <v>30</v>
      </c>
      <c r="D8" t="s">
        <v>31</v>
      </c>
      <c r="E8" t="s">
        <v>20</v>
      </c>
    </row>
    <row r="9" spans="1:5">
      <c r="A9" s="4" t="s">
        <v>32</v>
      </c>
      <c r="B9" s="4">
        <v>3</v>
      </c>
      <c r="C9" t="s">
        <v>30</v>
      </c>
      <c r="D9" t="s">
        <v>33</v>
      </c>
      <c r="E9" t="s">
        <v>20</v>
      </c>
    </row>
    <row r="10" spans="1:5">
      <c r="A10" s="4" t="s">
        <v>34</v>
      </c>
      <c r="B10" s="4">
        <v>85</v>
      </c>
      <c r="C10" t="s">
        <v>24</v>
      </c>
      <c r="D10" t="s">
        <v>35</v>
      </c>
      <c r="E10" t="s">
        <v>36</v>
      </c>
    </row>
    <row r="11" spans="1:5">
      <c r="A11" s="4" t="s">
        <v>37</v>
      </c>
      <c r="B11" s="4">
        <v>90</v>
      </c>
      <c r="C11" t="s">
        <v>24</v>
      </c>
      <c r="D11" t="s">
        <v>38</v>
      </c>
      <c r="E11" t="s">
        <v>36</v>
      </c>
    </row>
    <row r="12" spans="1:5">
      <c r="A12" s="4" t="s">
        <v>39</v>
      </c>
      <c r="B12" s="4">
        <v>2.5</v>
      </c>
      <c r="C12" t="s">
        <v>24</v>
      </c>
      <c r="D12" t="s">
        <v>40</v>
      </c>
      <c r="E12" t="s">
        <v>41</v>
      </c>
    </row>
    <row r="13" spans="1:5">
      <c r="A13" s="4" t="s">
        <v>42</v>
      </c>
      <c r="B13" s="4">
        <v>3</v>
      </c>
      <c r="C13" t="s">
        <v>24</v>
      </c>
      <c r="D13" t="s">
        <v>43</v>
      </c>
      <c r="E13" t="s">
        <v>41</v>
      </c>
    </row>
    <row r="14" spans="1:5">
      <c r="A14" s="4" t="s">
        <v>44</v>
      </c>
      <c r="B14" s="4">
        <v>3</v>
      </c>
      <c r="C14" t="s">
        <v>45</v>
      </c>
      <c r="D14" t="s">
        <v>46</v>
      </c>
      <c r="E14" t="s">
        <v>20</v>
      </c>
    </row>
    <row r="15" spans="1:5">
      <c r="A15" s="4" t="s">
        <v>47</v>
      </c>
      <c r="B15" s="4">
        <v>5</v>
      </c>
      <c r="C15" t="s">
        <v>45</v>
      </c>
      <c r="D15" t="s">
        <v>48</v>
      </c>
      <c r="E15" t="s">
        <v>20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sqref="A1:D1"/>
    </sheetView>
  </sheetViews>
  <sheetFormatPr defaultRowHeight="14.25"/>
  <cols>
    <col min="1" max="1" width="22" customWidth="1"/>
    <col min="2" max="2" width="32" customWidth="1"/>
    <col min="3" max="3" width="42" customWidth="1"/>
    <col min="4" max="4" width="55" customWidth="1"/>
  </cols>
  <sheetData>
    <row r="1" spans="1:4" ht="27.95" customHeight="1">
      <c r="A1" s="10" t="s">
        <v>49</v>
      </c>
      <c r="B1" s="10" t="s">
        <v>49</v>
      </c>
      <c r="C1" s="10" t="s">
        <v>49</v>
      </c>
      <c r="D1" s="10" t="s">
        <v>49</v>
      </c>
    </row>
    <row r="3" spans="1:4">
      <c r="A3" s="3" t="s">
        <v>50</v>
      </c>
      <c r="B3" s="3" t="s">
        <v>51</v>
      </c>
      <c r="C3" s="3" t="s">
        <v>52</v>
      </c>
      <c r="D3" s="3" t="s">
        <v>53</v>
      </c>
    </row>
    <row r="4" spans="1:4">
      <c r="A4" s="2" t="s">
        <v>54</v>
      </c>
      <c r="B4" s="2" t="s">
        <v>55</v>
      </c>
      <c r="C4" s="2" t="s">
        <v>56</v>
      </c>
      <c r="D4" s="2" t="s">
        <v>57</v>
      </c>
    </row>
    <row r="5" spans="1:4">
      <c r="A5" s="2" t="s">
        <v>58</v>
      </c>
      <c r="B5" s="2" t="s">
        <v>59</v>
      </c>
      <c r="C5" s="2" t="s">
        <v>60</v>
      </c>
      <c r="D5" s="2" t="s">
        <v>61</v>
      </c>
    </row>
    <row r="6" spans="1:4">
      <c r="A6" s="2" t="s">
        <v>62</v>
      </c>
      <c r="B6" s="2" t="s">
        <v>63</v>
      </c>
      <c r="C6" s="2" t="s">
        <v>64</v>
      </c>
      <c r="D6" s="2" t="s">
        <v>65</v>
      </c>
    </row>
    <row r="7" spans="1:4" ht="28.5">
      <c r="A7" s="2" t="s">
        <v>66</v>
      </c>
      <c r="B7" s="2" t="s">
        <v>67</v>
      </c>
      <c r="C7" s="2" t="s">
        <v>68</v>
      </c>
      <c r="D7" s="2" t="s">
        <v>69</v>
      </c>
    </row>
    <row r="8" spans="1:4" ht="28.5">
      <c r="A8" s="2" t="s">
        <v>70</v>
      </c>
      <c r="B8" s="2" t="s">
        <v>71</v>
      </c>
      <c r="C8" s="2" t="s">
        <v>72</v>
      </c>
      <c r="D8" s="2" t="s">
        <v>73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7"/>
  <sheetViews>
    <sheetView topLeftCell="A31" workbookViewId="0">
      <selection activeCell="E18" sqref="E18"/>
    </sheetView>
  </sheetViews>
  <sheetFormatPr defaultRowHeight="14.25"/>
  <cols>
    <col min="1" max="1" width="10.125" bestFit="1" customWidth="1"/>
    <col min="2" max="2" width="12.625" customWidth="1"/>
    <col min="3" max="3" width="4.375" bestFit="1" customWidth="1"/>
    <col min="4" max="4" width="8.125" customWidth="1"/>
    <col min="5" max="5" width="20.75" customWidth="1"/>
    <col min="6" max="6" width="11.625" customWidth="1"/>
    <col min="7" max="8" width="14.25" customWidth="1"/>
    <col min="9" max="9" width="9.75" customWidth="1"/>
    <col min="10" max="10" width="10.75" customWidth="1"/>
    <col min="11" max="12" width="9.375" bestFit="1" customWidth="1"/>
    <col min="13" max="14" width="9.5" customWidth="1"/>
    <col min="15" max="15" width="12.125" customWidth="1"/>
    <col min="16" max="16" width="14.25" customWidth="1"/>
  </cols>
  <sheetData>
    <row r="1" spans="1:16" ht="27.95" customHeight="1">
      <c r="A1" s="10" t="s">
        <v>74</v>
      </c>
      <c r="B1" s="10" t="s">
        <v>74</v>
      </c>
      <c r="C1" s="10" t="s">
        <v>74</v>
      </c>
      <c r="D1" s="10" t="s">
        <v>74</v>
      </c>
      <c r="E1" s="10" t="s">
        <v>74</v>
      </c>
      <c r="F1" s="10" t="s">
        <v>74</v>
      </c>
      <c r="G1" s="10" t="s">
        <v>74</v>
      </c>
      <c r="H1" s="10" t="s">
        <v>74</v>
      </c>
      <c r="I1" s="10" t="s">
        <v>74</v>
      </c>
      <c r="J1" s="10" t="s">
        <v>74</v>
      </c>
      <c r="K1" s="10" t="s">
        <v>74</v>
      </c>
      <c r="L1" s="10" t="s">
        <v>74</v>
      </c>
      <c r="M1" s="10" t="s">
        <v>74</v>
      </c>
      <c r="N1" s="10" t="s">
        <v>74</v>
      </c>
      <c r="O1" s="10" t="s">
        <v>74</v>
      </c>
      <c r="P1" s="10" t="s">
        <v>74</v>
      </c>
    </row>
    <row r="3" spans="1:16">
      <c r="A3" s="3" t="s">
        <v>75</v>
      </c>
      <c r="B3" s="3" t="s">
        <v>76</v>
      </c>
      <c r="C3" s="3" t="s">
        <v>77</v>
      </c>
      <c r="D3" s="3" t="s">
        <v>78</v>
      </c>
      <c r="E3" s="3" t="s">
        <v>79</v>
      </c>
      <c r="F3" s="3" t="s">
        <v>80</v>
      </c>
      <c r="G3" s="3" t="s">
        <v>81</v>
      </c>
      <c r="H3" s="3" t="s">
        <v>82</v>
      </c>
      <c r="I3" s="3" t="s">
        <v>83</v>
      </c>
      <c r="J3" s="3" t="s">
        <v>84</v>
      </c>
      <c r="K3" s="3" t="s">
        <v>85</v>
      </c>
      <c r="L3" s="3" t="s">
        <v>86</v>
      </c>
      <c r="M3" s="3" t="s">
        <v>87</v>
      </c>
      <c r="N3" s="3" t="s">
        <v>88</v>
      </c>
      <c r="O3" s="3" t="s">
        <v>89</v>
      </c>
      <c r="P3" s="3" t="s">
        <v>90</v>
      </c>
    </row>
    <row r="4" spans="1:16">
      <c r="A4" s="5">
        <v>44227</v>
      </c>
      <c r="B4" s="4">
        <v>5.8</v>
      </c>
      <c r="C4" s="4">
        <v>2.2000000000000002</v>
      </c>
      <c r="D4" s="4">
        <v>1.8000000000000003</v>
      </c>
      <c r="E4" s="4">
        <v>5.5</v>
      </c>
      <c r="F4" s="4">
        <v>7</v>
      </c>
      <c r="G4" s="4">
        <v>8</v>
      </c>
      <c r="H4" s="4">
        <v>9.876553231625218</v>
      </c>
      <c r="I4" s="6">
        <v>23000</v>
      </c>
      <c r="J4" s="4">
        <v>4</v>
      </c>
      <c r="K4" s="4">
        <v>120000</v>
      </c>
      <c r="L4" s="4">
        <v>101036.77462019741</v>
      </c>
      <c r="M4" s="4">
        <v>2.5</v>
      </c>
      <c r="N4" s="4">
        <v>2.7</v>
      </c>
      <c r="O4" s="4">
        <v>10.5</v>
      </c>
      <c r="P4" s="4">
        <v>11.482941969615794</v>
      </c>
    </row>
    <row r="5" spans="1:16">
      <c r="A5" s="5">
        <v>44255</v>
      </c>
      <c r="B5" s="4">
        <v>5.9566089027714897</v>
      </c>
      <c r="C5" s="4">
        <v>2.3852356799139343</v>
      </c>
      <c r="D5" s="4">
        <v>2.0249695460729464</v>
      </c>
      <c r="E5" s="4">
        <v>5.9147403317335376</v>
      </c>
      <c r="F5" s="4">
        <v>7.2244145200934096</v>
      </c>
      <c r="G5" s="4">
        <v>9.3906853155654275</v>
      </c>
      <c r="H5" s="4">
        <v>10.865306123426146</v>
      </c>
      <c r="I5" s="6">
        <v>23069.474033173356</v>
      </c>
      <c r="J5" s="4">
        <v>4</v>
      </c>
      <c r="K5" s="4">
        <v>124976.88398080245</v>
      </c>
      <c r="L5" s="4">
        <v>102556.68985247737</v>
      </c>
      <c r="M5" s="4">
        <v>2.732254585770781</v>
      </c>
      <c r="N5" s="4">
        <v>2.9322545857707811</v>
      </c>
      <c r="O5" s="4">
        <v>10.729616858287704</v>
      </c>
      <c r="P5" s="4">
        <v>11.574093978518913</v>
      </c>
    </row>
    <row r="6" spans="1:16">
      <c r="A6" s="5">
        <v>44286</v>
      </c>
      <c r="B6" s="4">
        <v>6.1100271373344306</v>
      </c>
      <c r="C6" s="4">
        <v>2.5685568408385713</v>
      </c>
      <c r="D6" s="4">
        <v>2.2464405093003013</v>
      </c>
      <c r="E6" s="4">
        <v>6.3179867419903806</v>
      </c>
      <c r="F6" s="4">
        <v>7.4453271266581416</v>
      </c>
      <c r="G6" s="4">
        <v>10.725928396160555</v>
      </c>
      <c r="H6" s="4">
        <v>11.6999614577649</v>
      </c>
      <c r="I6" s="6">
        <v>23137.798674199039</v>
      </c>
      <c r="J6" s="4">
        <v>4</v>
      </c>
      <c r="K6" s="4">
        <v>129815.84090388457</v>
      </c>
      <c r="L6" s="4">
        <v>103724.61548388965</v>
      </c>
      <c r="M6" s="4">
        <v>2.9580725755146129</v>
      </c>
      <c r="N6" s="4">
        <v>3.1580725755146131</v>
      </c>
      <c r="O6" s="4">
        <v>10.956939460828641</v>
      </c>
      <c r="P6" s="4">
        <v>11.650594148684412</v>
      </c>
    </row>
    <row r="7" spans="1:16">
      <c r="A7" s="5">
        <v>44316</v>
      </c>
      <c r="B7" s="4">
        <v>6.257129040492357</v>
      </c>
      <c r="C7" s="4">
        <v>2.7480725755146129</v>
      </c>
      <c r="D7" s="4">
        <v>2.4610010701936202</v>
      </c>
      <c r="E7" s="4">
        <v>6.698563846510508</v>
      </c>
      <c r="F7" s="4">
        <v>7.6592905523548858</v>
      </c>
      <c r="G7" s="4">
        <v>11.952497313765248</v>
      </c>
      <c r="H7" s="4">
        <v>12.347244160368612</v>
      </c>
      <c r="I7" s="6">
        <v>23203.856384651051</v>
      </c>
      <c r="J7" s="4">
        <v>4</v>
      </c>
      <c r="K7" s="4">
        <v>134382.76615812609</v>
      </c>
      <c r="L7" s="4">
        <v>104522.3264255789</v>
      </c>
      <c r="M7" s="4">
        <v>3.1711957540458844</v>
      </c>
      <c r="N7" s="4">
        <v>3.3711957540458846</v>
      </c>
      <c r="O7" s="4">
        <v>11.17969647532108</v>
      </c>
      <c r="P7" s="4">
        <v>11.711810682603121</v>
      </c>
    </row>
    <row r="8" spans="1:16">
      <c r="A8" s="5">
        <v>44347</v>
      </c>
      <c r="B8" s="4">
        <v>6.3949176346947141</v>
      </c>
      <c r="C8" s="4">
        <v>2.9219389089396981</v>
      </c>
      <c r="D8" s="4">
        <v>2.6654101271196029</v>
      </c>
      <c r="E8" s="4">
        <v>7.0459245076743429</v>
      </c>
      <c r="F8" s="4">
        <v>7.8629659694875658</v>
      </c>
      <c r="G8" s="4">
        <v>13.02149263629666</v>
      </c>
      <c r="H8" s="4">
        <v>12.781349112503158</v>
      </c>
      <c r="I8" s="6">
        <v>23266.592450767435</v>
      </c>
      <c r="J8" s="4">
        <v>4</v>
      </c>
      <c r="K8" s="4">
        <v>138551.0940920921</v>
      </c>
      <c r="L8" s="4">
        <v>104937.37466510136</v>
      </c>
      <c r="M8" s="4">
        <v>3.3657177242976317</v>
      </c>
      <c r="N8" s="4">
        <v>3.5657177242976319</v>
      </c>
      <c r="O8" s="4">
        <v>11.395662187309895</v>
      </c>
      <c r="P8" s="4">
        <v>11.75723800684211</v>
      </c>
    </row>
    <row r="9" spans="1:16">
      <c r="A9" s="5">
        <v>44377</v>
      </c>
      <c r="B9" s="4">
        <v>6.5205856868963705</v>
      </c>
      <c r="C9" s="4">
        <v>3.0883815400806118</v>
      </c>
      <c r="D9" s="4">
        <v>2.8566757370421914</v>
      </c>
      <c r="E9" s="4">
        <v>7.3504421329900929</v>
      </c>
      <c r="F9" s="4">
        <v>8.0531750912928324</v>
      </c>
      <c r="G9" s="4">
        <v>13.890296893655275</v>
      </c>
      <c r="H9" s="4">
        <v>12.984969919624326</v>
      </c>
      <c r="I9" s="6">
        <v>23325.04421329901</v>
      </c>
      <c r="J9" s="4">
        <v>4</v>
      </c>
      <c r="K9" s="4">
        <v>142205.3055958811</v>
      </c>
      <c r="L9" s="4">
        <v>104963.28351349579</v>
      </c>
      <c r="M9" s="4">
        <v>3.5362475944744518</v>
      </c>
      <c r="N9" s="4">
        <v>3.736247594474452</v>
      </c>
      <c r="O9" s="4">
        <v>11.602678738789667</v>
      </c>
      <c r="P9" s="4">
        <v>11.786500947460716</v>
      </c>
    </row>
    <row r="10" spans="1:16">
      <c r="A10" s="5">
        <v>44408</v>
      </c>
      <c r="B10" s="4">
        <v>6.6315729016614053</v>
      </c>
      <c r="C10" s="4">
        <v>3.2457177242976321</v>
      </c>
      <c r="D10" s="4">
        <v>3.0321255414910775</v>
      </c>
      <c r="E10" s="4">
        <v>7.6036774620197409</v>
      </c>
      <c r="F10" s="4">
        <v>8.226949768042001</v>
      </c>
      <c r="G10" s="4">
        <v>14.524273601770584</v>
      </c>
      <c r="H10" s="4">
        <v>12.949988862714811</v>
      </c>
      <c r="I10" s="6">
        <v>23378.367746201973</v>
      </c>
      <c r="J10" s="4">
        <v>4</v>
      </c>
      <c r="K10" s="4">
        <v>145244.1295442369</v>
      </c>
      <c r="L10" s="4">
        <v>104599.64867184842</v>
      </c>
      <c r="M10" s="4">
        <v>3.6780593787310547</v>
      </c>
      <c r="N10" s="4">
        <v>3.8780593787310549</v>
      </c>
      <c r="O10" s="4">
        <v>11.798677688808581</v>
      </c>
      <c r="P10" s="4">
        <v>11.799357828486796</v>
      </c>
    </row>
    <row r="11" spans="1:16">
      <c r="A11" s="5">
        <v>44439</v>
      </c>
      <c r="B11" s="4">
        <v>6.725618083288686</v>
      </c>
      <c r="C11" s="4">
        <v>3.3923770266054296</v>
      </c>
      <c r="D11" s="4">
        <v>3.189466972603122</v>
      </c>
      <c r="E11" s="4">
        <v>7.7986124481343877</v>
      </c>
      <c r="F11" s="4">
        <v>8.381578304024849</v>
      </c>
      <c r="G11" s="4">
        <v>14.898148109919221</v>
      </c>
      <c r="H11" s="4">
        <v>12.677800526124486</v>
      </c>
      <c r="I11" s="6">
        <v>23425.861244813437</v>
      </c>
      <c r="J11" s="4">
        <v>4</v>
      </c>
      <c r="K11" s="4">
        <v>147583.34937761264</v>
      </c>
      <c r="L11" s="4">
        <v>103852.14454024234</v>
      </c>
      <c r="M11" s="4">
        <v>3.7872229709552574</v>
      </c>
      <c r="N11" s="4">
        <v>3.9872229709552576</v>
      </c>
      <c r="O11" s="4">
        <v>11.981700680646689</v>
      </c>
      <c r="P11" s="4">
        <v>11.795702467863624</v>
      </c>
    </row>
    <row r="12" spans="1:16">
      <c r="A12" s="5">
        <v>44469</v>
      </c>
      <c r="B12" s="4">
        <v>6.8008052042352363</v>
      </c>
      <c r="C12" s="4">
        <v>3.5269206898209244</v>
      </c>
      <c r="D12" s="4">
        <v>3.3268354104292257</v>
      </c>
      <c r="E12" s="4">
        <v>7.9298447534082817</v>
      </c>
      <c r="F12" s="4">
        <v>8.5146477726542145</v>
      </c>
      <c r="G12" s="4">
        <v>14.997015221290535</v>
      </c>
      <c r="H12" s="4">
        <v>12.179256199893242</v>
      </c>
      <c r="I12" s="6">
        <v>23466.984475340829</v>
      </c>
      <c r="J12" s="4">
        <v>4</v>
      </c>
      <c r="K12" s="4">
        <v>149158.13704089937</v>
      </c>
      <c r="L12" s="4">
        <v>102732.43567064204</v>
      </c>
      <c r="M12" s="4">
        <v>3.8607130619086378</v>
      </c>
      <c r="N12" s="4">
        <v>4.060713061908638</v>
      </c>
      <c r="O12" s="4">
        <v>12.149919009068903</v>
      </c>
      <c r="P12" s="4">
        <v>11.775565054383353</v>
      </c>
    </row>
    <row r="13" spans="1:16">
      <c r="A13" s="5">
        <v>44500</v>
      </c>
      <c r="B13" s="4">
        <v>6.8556024412633532</v>
      </c>
      <c r="C13" s="4">
        <v>3.6480593787310549</v>
      </c>
      <c r="D13" s="4">
        <v>3.442828904906694</v>
      </c>
      <c r="E13" s="4">
        <v>7.9937374665101366</v>
      </c>
      <c r="F13" s="4">
        <v>8.6240816693783717</v>
      </c>
      <c r="G13" s="4">
        <v>14.816933416147366</v>
      </c>
      <c r="H13" s="4">
        <v>11.474231273060322</v>
      </c>
      <c r="I13" s="6">
        <v>23501.373746651014</v>
      </c>
      <c r="J13" s="4">
        <v>4</v>
      </c>
      <c r="K13" s="4">
        <v>149924.84959812163</v>
      </c>
      <c r="L13" s="4">
        <v>101257.9947454613</v>
      </c>
      <c r="M13" s="4">
        <v>3.8964929812456761</v>
      </c>
      <c r="N13" s="4">
        <v>4.0964929812456763</v>
      </c>
      <c r="O13" s="4">
        <v>12.301651892143212</v>
      </c>
      <c r="P13" s="4">
        <v>11.739111898364648</v>
      </c>
    </row>
    <row r="14" spans="1:16">
      <c r="A14" s="5">
        <v>44530</v>
      </c>
      <c r="B14" s="4">
        <v>6.8888933840093358</v>
      </c>
      <c r="C14" s="4">
        <v>3.7546690814419388</v>
      </c>
      <c r="D14" s="4">
        <v>3.5365285668070752</v>
      </c>
      <c r="E14" s="4">
        <v>7.9885198943794125</v>
      </c>
      <c r="F14" s="4">
        <v>8.7081723148400556</v>
      </c>
      <c r="G14" s="4">
        <v>14.365081987779771</v>
      </c>
      <c r="H14" s="4">
        <v>10.590832864623739</v>
      </c>
      <c r="I14" s="6">
        <v>23528.851989437942</v>
      </c>
      <c r="J14" s="4">
        <v>4</v>
      </c>
      <c r="K14" s="4">
        <v>149862.23873255294</v>
      </c>
      <c r="L14" s="4">
        <v>99451.829922198027</v>
      </c>
      <c r="M14" s="4">
        <v>3.8935711408524707</v>
      </c>
      <c r="N14" s="4">
        <v>4.0935711408524709</v>
      </c>
      <c r="O14" s="4">
        <v>12.435383265058162</v>
      </c>
      <c r="P14" s="4">
        <v>11.686644058133577</v>
      </c>
    </row>
    <row r="15" spans="1:16">
      <c r="A15" s="5">
        <v>44561</v>
      </c>
      <c r="B15" s="4">
        <v>6.8999997801467048</v>
      </c>
      <c r="C15" s="4">
        <v>3.8458049717983669</v>
      </c>
      <c r="D15" s="4">
        <v>3.6075042525622849</v>
      </c>
      <c r="E15" s="4">
        <v>7.9143366343937496</v>
      </c>
      <c r="F15" s="4">
        <v>8.7656075026416804</v>
      </c>
      <c r="G15" s="4">
        <v>13.659474826737132</v>
      </c>
      <c r="H15" s="4">
        <v>9.5642792814029782</v>
      </c>
      <c r="I15" s="6">
        <v>23549.433663439377</v>
      </c>
      <c r="J15" s="4">
        <v>4</v>
      </c>
      <c r="K15" s="4">
        <v>148972.039612725</v>
      </c>
      <c r="L15" s="4">
        <v>97342.125798831796</v>
      </c>
      <c r="M15" s="4">
        <v>3.8520285152604998</v>
      </c>
      <c r="N15" s="4">
        <v>4.0520285152605</v>
      </c>
      <c r="O15" s="4">
        <v>12.549776928141302</v>
      </c>
      <c r="P15" s="4">
        <v>11.618594853651365</v>
      </c>
    </row>
    <row r="16" spans="1:16">
      <c r="A16" s="5">
        <v>44592</v>
      </c>
      <c r="B16" s="4">
        <v>6.8886953537458036</v>
      </c>
      <c r="C16" s="4">
        <v>3.9207130619086379</v>
      </c>
      <c r="D16" s="4">
        <v>3.655805698018868</v>
      </c>
      <c r="E16" s="4">
        <v>7.7732435670642044</v>
      </c>
      <c r="F16" s="4">
        <v>8.7954909758872972</v>
      </c>
      <c r="G16" s="4">
        <v>12.728242263858057</v>
      </c>
      <c r="H16" s="4">
        <v>8.4354959752838941</v>
      </c>
      <c r="I16" s="6">
        <v>23563.32435670642</v>
      </c>
      <c r="J16" s="4">
        <v>4</v>
      </c>
      <c r="K16" s="4">
        <v>147278.92280477047</v>
      </c>
      <c r="L16" s="4">
        <v>94961.803602598913</v>
      </c>
      <c r="M16" s="4">
        <v>3.7730163975559545</v>
      </c>
      <c r="N16" s="4">
        <v>3.9730163975559547</v>
      </c>
      <c r="O16" s="4">
        <v>12.64368989772462</v>
      </c>
      <c r="P16" s="4">
        <v>11.535526287823361</v>
      </c>
    </row>
    <row r="17" spans="1:16">
      <c r="A17" s="5">
        <v>44620</v>
      </c>
      <c r="B17" s="4">
        <v>6.8552104153017241</v>
      </c>
      <c r="C17" s="4">
        <v>3.9788395010643538</v>
      </c>
      <c r="D17" s="4">
        <v>3.6819397754286469</v>
      </c>
      <c r="E17" s="4">
        <v>7.5691508803149015</v>
      </c>
      <c r="F17" s="4">
        <v>8.7973564129716966</v>
      </c>
      <c r="G17" s="4">
        <v>11.608509602750249</v>
      </c>
      <c r="H17" s="4">
        <v>7.2494839745997428</v>
      </c>
      <c r="I17" s="6">
        <v>23570.915088031492</v>
      </c>
      <c r="J17" s="4">
        <v>4</v>
      </c>
      <c r="K17" s="4">
        <v>144829.81056377882</v>
      </c>
      <c r="L17" s="4">
        <v>92348.007465252231</v>
      </c>
      <c r="M17" s="4">
        <v>3.6587244929763445</v>
      </c>
      <c r="N17" s="4">
        <v>3.8587244929763447</v>
      </c>
      <c r="O17" s="4">
        <v>12.716183826459543</v>
      </c>
      <c r="P17" s="4">
        <v>11.438124405044857</v>
      </c>
    </row>
    <row r="18" spans="1:16">
      <c r="A18" s="5">
        <v>44651</v>
      </c>
      <c r="B18" s="4">
        <v>6.8002271695082497</v>
      </c>
      <c r="C18" s="4">
        <v>4.0198374063717432</v>
      </c>
      <c r="D18" s="4">
        <v>3.6868350364029245</v>
      </c>
      <c r="E18" s="4">
        <v>7.3077147043458108</v>
      </c>
      <c r="F18" s="4">
        <v>8.7711747043730863</v>
      </c>
      <c r="G18" s="4">
        <v>10.344917051091336</v>
      </c>
      <c r="H18" s="4">
        <v>6.053525835140511</v>
      </c>
      <c r="I18" s="6">
        <v>23572.771470434582</v>
      </c>
      <c r="J18" s="4">
        <v>4</v>
      </c>
      <c r="K18" s="4">
        <v>141692.57645214975</v>
      </c>
      <c r="L18" s="4">
        <v>89541.524801308289</v>
      </c>
      <c r="M18" s="4">
        <v>3.5123202344336546</v>
      </c>
      <c r="N18" s="4">
        <v>3.7123202344336548</v>
      </c>
      <c r="O18" s="4">
        <v>12.766534378973457</v>
      </c>
      <c r="P18" s="4">
        <v>11.327193625316418</v>
      </c>
    </row>
    <row r="19" spans="1:16">
      <c r="A19" s="5">
        <v>44681</v>
      </c>
      <c r="B19" s="4">
        <v>6.7248658163747752</v>
      </c>
      <c r="C19" s="4">
        <v>4.043571140852471</v>
      </c>
      <c r="D19" s="4">
        <v>3.6717951424644446</v>
      </c>
      <c r="E19" s="4">
        <v>6.9961803602598911</v>
      </c>
      <c r="F19" s="4">
        <v>8.7173544068974493</v>
      </c>
      <c r="G19" s="4">
        <v>8.9878400564190706</v>
      </c>
      <c r="H19" s="4">
        <v>4.8953006338622806</v>
      </c>
      <c r="I19" s="6">
        <v>23569.61803602599</v>
      </c>
      <c r="J19" s="4">
        <v>4</v>
      </c>
      <c r="K19" s="4">
        <v>137954.16432311869</v>
      </c>
      <c r="L19" s="4">
        <v>86586.149834085518</v>
      </c>
      <c r="M19" s="4">
        <v>3.337861001745539</v>
      </c>
      <c r="N19" s="4">
        <v>3.5378610017455392</v>
      </c>
      <c r="O19" s="4">
        <v>12.794238469189326</v>
      </c>
      <c r="P19" s="4">
        <v>11.203650100722044</v>
      </c>
    </row>
    <row r="20" spans="1:16">
      <c r="A20" s="5">
        <v>44712</v>
      </c>
      <c r="B20" s="4">
        <v>6.6306617288548235</v>
      </c>
      <c r="C20" s="4">
        <v>4.0501179862521717</v>
      </c>
      <c r="D20" s="4">
        <v>3.6384431575666558</v>
      </c>
      <c r="E20" s="4">
        <v>6.6431815665895302</v>
      </c>
      <c r="F20" s="4">
        <v>8.636735368286228</v>
      </c>
      <c r="G20" s="4">
        <v>7.5913809960069392</v>
      </c>
      <c r="H20" s="4">
        <v>3.8209831545490394</v>
      </c>
      <c r="I20" s="6">
        <v>23562.318156658952</v>
      </c>
      <c r="J20" s="4">
        <v>4</v>
      </c>
      <c r="K20" s="4">
        <v>133718.17879907435</v>
      </c>
      <c r="L20" s="4">
        <v>83528.000201496674</v>
      </c>
      <c r="M20" s="4">
        <v>3.140181677290137</v>
      </c>
      <c r="N20" s="4">
        <v>3.3401816772901372</v>
      </c>
      <c r="O20" s="4">
        <v>12.799019286995462</v>
      </c>
      <c r="P20" s="4">
        <v>11.068514149137417</v>
      </c>
    </row>
    <row r="21" spans="1:16">
      <c r="A21" s="5">
        <v>44742</v>
      </c>
      <c r="B21" s="4">
        <v>6.5195341719572548</v>
      </c>
      <c r="C21" s="4">
        <v>4.0397671899260033</v>
      </c>
      <c r="D21" s="4">
        <v>3.5886589695206372</v>
      </c>
      <c r="E21" s="4">
        <v>6.2585011684196399</v>
      </c>
      <c r="F21" s="4">
        <v>8.5305756216732131</v>
      </c>
      <c r="G21" s="4">
        <v>6.2112122858121817</v>
      </c>
      <c r="H21" s="4">
        <v>2.8734030448961576</v>
      </c>
      <c r="I21" s="6">
        <v>23551.850116841964</v>
      </c>
      <c r="J21" s="4">
        <v>4</v>
      </c>
      <c r="K21" s="4">
        <v>129102.01402103568</v>
      </c>
      <c r="L21" s="4">
        <v>80414.797305733693</v>
      </c>
      <c r="M21" s="4">
        <v>2.9247606543149987</v>
      </c>
      <c r="N21" s="4">
        <v>3.1247606543149988</v>
      </c>
      <c r="O21" s="4">
        <v>12.780829064040677</v>
      </c>
      <c r="P21" s="4">
        <v>10.922901827656609</v>
      </c>
    </row>
    <row r="22" spans="1:16">
      <c r="A22" s="5">
        <v>44773</v>
      </c>
      <c r="B22" s="4">
        <v>6.3937472006407079</v>
      </c>
      <c r="C22" s="4">
        <v>4.0130163975559547</v>
      </c>
      <c r="D22" s="4">
        <v>3.5245123088969845</v>
      </c>
      <c r="E22" s="4">
        <v>5.8528000201496679</v>
      </c>
      <c r="F22" s="4">
        <v>8.4005317543982585</v>
      </c>
      <c r="G22" s="4">
        <v>4.9023568969360323</v>
      </c>
      <c r="H22" s="4">
        <v>2.0903373336135385</v>
      </c>
      <c r="I22" s="6">
        <v>23539.280002014966</v>
      </c>
      <c r="J22" s="4">
        <v>4</v>
      </c>
      <c r="K22" s="4">
        <v>124233.60024179601</v>
      </c>
      <c r="L22" s="4">
        <v>77295.121636747295</v>
      </c>
      <c r="M22" s="4">
        <v>2.6975680112838143</v>
      </c>
      <c r="N22" s="4">
        <v>2.8975680112838145</v>
      </c>
      <c r="O22" s="4">
        <v>12.739849551019848</v>
      </c>
      <c r="P22" s="4">
        <v>10.768015715330327</v>
      </c>
    </row>
    <row r="23" spans="1:16">
      <c r="A23" s="5">
        <v>44804</v>
      </c>
      <c r="B23" s="4">
        <v>6.2558635331372043</v>
      </c>
      <c r="C23" s="4">
        <v>3.9705655156951463</v>
      </c>
      <c r="D23" s="4">
        <v>3.4481939375066024</v>
      </c>
      <c r="E23" s="4">
        <v>5.4373215355120772</v>
      </c>
      <c r="F23" s="4">
        <v>8.2486330575158888</v>
      </c>
      <c r="G23" s="4">
        <v>3.7169947634009679</v>
      </c>
      <c r="H23" s="4">
        <v>1.5030043795032704</v>
      </c>
      <c r="I23" s="6">
        <v>23525.732153551209</v>
      </c>
      <c r="J23" s="4">
        <v>4</v>
      </c>
      <c r="K23" s="4">
        <v>119247.85842614493</v>
      </c>
      <c r="L23" s="4">
        <v>74217.654689949457</v>
      </c>
      <c r="M23" s="4">
        <v>2.4649000598867632</v>
      </c>
      <c r="N23" s="4">
        <v>2.6649000598867634</v>
      </c>
      <c r="O23" s="4">
        <v>12.676490201681053</v>
      </c>
      <c r="P23" s="4">
        <v>10.605134981338994</v>
      </c>
    </row>
    <row r="24" spans="1:16">
      <c r="A24" s="5">
        <v>44834</v>
      </c>
      <c r="B24" s="4">
        <v>6.1086923394657919</v>
      </c>
      <c r="C24" s="4">
        <v>3.913308079832269</v>
      </c>
      <c r="D24" s="4">
        <v>3.3619475807706833</v>
      </c>
      <c r="E24" s="4">
        <v>5.0235800928112866</v>
      </c>
      <c r="F24" s="4">
        <v>8.0772498593871216</v>
      </c>
      <c r="G24" s="4">
        <v>2.7023825328445028</v>
      </c>
      <c r="H24" s="4">
        <v>1.1348192940094179</v>
      </c>
      <c r="I24" s="6">
        <v>23512.358009281128</v>
      </c>
      <c r="J24" s="4">
        <v>4</v>
      </c>
      <c r="K24" s="4">
        <v>114282.96111373544</v>
      </c>
      <c r="L24" s="4">
        <v>71230.419307759497</v>
      </c>
      <c r="M24" s="4">
        <v>2.2332048519743206</v>
      </c>
      <c r="N24" s="4">
        <v>2.4332048519743208</v>
      </c>
      <c r="O24" s="4">
        <v>12.591384081699069</v>
      </c>
      <c r="P24" s="4">
        <v>10.435604820625382</v>
      </c>
    </row>
    <row r="25" spans="1:16">
      <c r="A25" s="5">
        <v>44865</v>
      </c>
      <c r="B25" s="4">
        <v>5.9552320088658535</v>
      </c>
      <c r="C25" s="4">
        <v>3.8423202344336547</v>
      </c>
      <c r="D25" s="4">
        <v>3.268005079950937</v>
      </c>
      <c r="E25" s="4">
        <v>4.6230419307759503</v>
      </c>
      <c r="F25" s="4">
        <v>7.8890565374981607</v>
      </c>
      <c r="G25" s="4">
        <v>1.8989695931048827</v>
      </c>
      <c r="H25" s="4">
        <v>1.0004604546153946</v>
      </c>
      <c r="I25" s="6">
        <v>23500.304193077594</v>
      </c>
      <c r="J25" s="4">
        <v>4</v>
      </c>
      <c r="K25" s="4">
        <v>109476.5031693114</v>
      </c>
      <c r="L25" s="4">
        <v>68380.030299209771</v>
      </c>
      <c r="M25" s="4">
        <v>2.0089034812345323</v>
      </c>
      <c r="N25" s="4">
        <v>2.2089034812345325</v>
      </c>
      <c r="O25" s="4">
        <v>12.485381543292409</v>
      </c>
      <c r="P25" s="4">
        <v>10.260825344235478</v>
      </c>
    </row>
    <row r="26" spans="1:16">
      <c r="A26" s="5">
        <v>44895</v>
      </c>
      <c r="B26" s="4">
        <v>5.7986090621765847</v>
      </c>
      <c r="C26" s="4">
        <v>3.758847460871956</v>
      </c>
      <c r="D26" s="4">
        <v>3.1685270460940527</v>
      </c>
      <c r="E26" s="4">
        <v>4.2468073785291383</v>
      </c>
      <c r="F26" s="4">
        <v>7.6869897856941973</v>
      </c>
      <c r="G26" s="4">
        <v>1.338785482773388</v>
      </c>
      <c r="H26" s="4">
        <v>1.1052843242540051</v>
      </c>
      <c r="I26" s="6">
        <v>23490.680737852912</v>
      </c>
      <c r="J26" s="4">
        <v>4</v>
      </c>
      <c r="K26" s="4">
        <v>104961.68854234966</v>
      </c>
      <c r="L26" s="4">
        <v>65710.967031441411</v>
      </c>
      <c r="M26" s="4">
        <v>1.7982121319763174</v>
      </c>
      <c r="N26" s="4">
        <v>1.9982121319763173</v>
      </c>
      <c r="O26" s="4">
        <v>12.359541728785057</v>
      </c>
      <c r="P26" s="4">
        <v>10.082240016119735</v>
      </c>
    </row>
    <row r="27" spans="1:16">
      <c r="A27" s="5">
        <v>44926</v>
      </c>
      <c r="B27" s="4">
        <v>5.6420144537299999</v>
      </c>
      <c r="C27" s="4">
        <v>3.6642892169256469</v>
      </c>
      <c r="D27" s="4">
        <v>3.0655510161989543</v>
      </c>
      <c r="E27" s="4">
        <v>3.9053032262078702</v>
      </c>
      <c r="F27" s="4">
        <v>7.4742027880541571</v>
      </c>
      <c r="G27" s="4">
        <v>1.044162974565749</v>
      </c>
      <c r="H27" s="4">
        <v>1.4451119060336053</v>
      </c>
      <c r="I27" s="6">
        <v>23484.530322620787</v>
      </c>
      <c r="J27" s="4">
        <v>4</v>
      </c>
      <c r="K27" s="4">
        <v>100863.63871449445</v>
      </c>
      <c r="L27" s="4">
        <v>63264.879344056601</v>
      </c>
      <c r="M27" s="4">
        <v>1.6069698066764073</v>
      </c>
      <c r="N27" s="4">
        <v>1.8069698066764073</v>
      </c>
      <c r="O27" s="4">
        <v>12.215121988006457</v>
      </c>
      <c r="P27" s="4">
        <v>9.9013237318925569</v>
      </c>
    </row>
    <row r="28" spans="1:16">
      <c r="A28" s="5">
        <v>44957</v>
      </c>
      <c r="B28" s="4">
        <v>5.4886385605095187</v>
      </c>
      <c r="C28" s="4">
        <v>3.5601816772901369</v>
      </c>
      <c r="D28" s="4">
        <v>2.9609487555229688</v>
      </c>
      <c r="E28" s="4">
        <v>3.6079937617301794</v>
      </c>
      <c r="F28" s="4">
        <v>7.2540160145077612</v>
      </c>
      <c r="G28" s="4">
        <v>1.0268477381491152</v>
      </c>
      <c r="H28" s="4">
        <v>2.0063953466565927</v>
      </c>
      <c r="I28" s="6">
        <v>23482.799376173018</v>
      </c>
      <c r="J28" s="4">
        <v>4</v>
      </c>
      <c r="K28" s="4">
        <v>97295.925140762149</v>
      </c>
      <c r="L28" s="4">
        <v>61079.937617301795</v>
      </c>
      <c r="M28" s="4">
        <v>1.4404765065689007</v>
      </c>
      <c r="N28" s="4">
        <v>1.6404765065689006</v>
      </c>
      <c r="O28" s="4">
        <v>12.053565315267647</v>
      </c>
      <c r="P28" s="4">
        <v>9.719570638004809</v>
      </c>
    </row>
    <row r="29" spans="1:16">
      <c r="A29" s="5">
        <v>44985</v>
      </c>
      <c r="B29" s="4">
        <v>5.3416061830711499</v>
      </c>
      <c r="C29" s="4">
        <v>3.448178787961492</v>
      </c>
      <c r="D29" s="4">
        <v>2.8563939330288646</v>
      </c>
      <c r="E29" s="4">
        <v>3.3631184819029003</v>
      </c>
      <c r="F29" s="4">
        <v>7.0298654060128261</v>
      </c>
      <c r="G29" s="4">
        <v>1.2875300773580305</v>
      </c>
      <c r="H29" s="4">
        <v>2.7667580465776487</v>
      </c>
      <c r="I29" s="6">
        <v>23486.311848190289</v>
      </c>
      <c r="J29" s="4">
        <v>4</v>
      </c>
      <c r="K29" s="4">
        <v>94357.421782834805</v>
      </c>
      <c r="L29" s="4">
        <v>59190.237136050317</v>
      </c>
      <c r="M29" s="4">
        <v>1.3033463498656241</v>
      </c>
      <c r="N29" s="4">
        <v>1.5033463498656241</v>
      </c>
      <c r="O29" s="4">
        <v>11.876485931439101</v>
      </c>
      <c r="P29" s="4">
        <v>9.5384817919280493</v>
      </c>
    </row>
    <row r="30" spans="1:16">
      <c r="A30" s="5">
        <v>45016</v>
      </c>
      <c r="B30" s="4">
        <v>5.2039128824846541</v>
      </c>
      <c r="C30" s="4">
        <v>3.3300318681487076</v>
      </c>
      <c r="D30" s="4">
        <v>2.7533409370046771</v>
      </c>
      <c r="E30" s="4">
        <v>3.1774637468230953</v>
      </c>
      <c r="F30" s="4">
        <v>6.8052487578458045</v>
      </c>
      <c r="G30" s="4">
        <v>1.8158174099589282</v>
      </c>
      <c r="H30" s="4">
        <v>3.6958867444141745</v>
      </c>
      <c r="I30" s="6">
        <v>23495.746374682309</v>
      </c>
      <c r="J30" s="4">
        <v>4</v>
      </c>
      <c r="K30" s="4">
        <v>92129.564961877142</v>
      </c>
      <c r="L30" s="4">
        <v>57625.26604428541</v>
      </c>
      <c r="M30" s="4">
        <v>1.1993796982209335</v>
      </c>
      <c r="N30" s="4">
        <v>1.3993796982209334</v>
      </c>
      <c r="O30" s="4">
        <v>11.685653155189367</v>
      </c>
      <c r="P30" s="4">
        <v>9.3595527652622241</v>
      </c>
    </row>
    <row r="31" spans="1:16">
      <c r="A31" s="5">
        <v>45046</v>
      </c>
      <c r="B31" s="4">
        <v>5.0783639503326716</v>
      </c>
      <c r="C31" s="4">
        <v>3.2075680112838145</v>
      </c>
      <c r="D31" s="4">
        <v>2.653015113772617</v>
      </c>
      <c r="E31" s="4">
        <v>3.0561747058372575</v>
      </c>
      <c r="F31" s="4">
        <v>6.5836711376763608</v>
      </c>
      <c r="G31" s="4">
        <v>2.59064858710809</v>
      </c>
      <c r="H31" s="4">
        <v>4.756740011018584</v>
      </c>
      <c r="I31" s="6">
        <v>23511.617470583726</v>
      </c>
      <c r="J31" s="4">
        <v>4</v>
      </c>
      <c r="K31" s="4">
        <v>90674.096470047094</v>
      </c>
      <c r="L31" s="4">
        <v>56409.445192475934</v>
      </c>
      <c r="M31" s="4">
        <v>1.1314578352688642</v>
      </c>
      <c r="N31" s="4">
        <v>1.3314578352688642</v>
      </c>
      <c r="O31" s="4">
        <v>11.482973724537809</v>
      </c>
      <c r="P31" s="4">
        <v>9.1842612921499001</v>
      </c>
    </row>
    <row r="32" spans="1:16">
      <c r="A32" s="5">
        <v>45077</v>
      </c>
      <c r="B32" s="4">
        <v>4.9675172551612787</v>
      </c>
      <c r="C32" s="4">
        <v>3.0826675515097812</v>
      </c>
      <c r="D32" s="4">
        <v>2.5564142239353171</v>
      </c>
      <c r="E32" s="4">
        <v>3.0026127072551794</v>
      </c>
      <c r="F32" s="4">
        <v>6.3685901901586845</v>
      </c>
      <c r="G32" s="4">
        <v>3.5811335348937483</v>
      </c>
      <c r="H32" s="4">
        <v>5.9070249743674248</v>
      </c>
      <c r="I32" s="6">
        <v>23534.261270725518</v>
      </c>
      <c r="J32" s="4">
        <v>4</v>
      </c>
      <c r="K32" s="4">
        <v>90031.352487062148</v>
      </c>
      <c r="L32" s="4">
        <v>55561.747058372574</v>
      </c>
      <c r="M32" s="4">
        <v>1.1014631160629005</v>
      </c>
      <c r="N32" s="4">
        <v>1.3014631160629004</v>
      </c>
      <c r="O32" s="4">
        <v>11.270472745358582</v>
      </c>
      <c r="P32" s="4">
        <v>9.0140550650060352</v>
      </c>
    </row>
    <row r="33" spans="1:16">
      <c r="A33" s="5">
        <v>45107</v>
      </c>
      <c r="B33" s="4">
        <v>4.8736311297986035</v>
      </c>
      <c r="C33" s="4">
        <v>2.9572408735516453</v>
      </c>
      <c r="D33" s="4">
        <v>2.4643204376688939</v>
      </c>
      <c r="E33" s="4">
        <v>3.018262143499618</v>
      </c>
      <c r="F33" s="4">
        <v>6.1633621815431034</v>
      </c>
      <c r="G33" s="4">
        <v>4.7477847441036989</v>
      </c>
      <c r="H33" s="4">
        <v>7.1008834029060983</v>
      </c>
      <c r="I33" s="6">
        <v>23563.826214349963</v>
      </c>
      <c r="J33" s="4">
        <v>4</v>
      </c>
      <c r="K33" s="4">
        <v>90219.145721995417</v>
      </c>
      <c r="L33" s="4">
        <v>55095.39968783802</v>
      </c>
      <c r="M33" s="4">
        <v>1.1102268003597862</v>
      </c>
      <c r="N33" s="4">
        <v>1.3102268003597861</v>
      </c>
      <c r="O33" s="4">
        <v>11.05027345719216</v>
      </c>
      <c r="P33" s="4">
        <v>8.8503397783555222</v>
      </c>
    </row>
    <row r="34" spans="1:16">
      <c r="A34" s="5">
        <v>45138</v>
      </c>
      <c r="B34" s="4">
        <v>4.7986183612581392</v>
      </c>
      <c r="C34" s="4">
        <v>2.8332048519743207</v>
      </c>
      <c r="D34" s="4">
        <v>2.3773217523345358</v>
      </c>
      <c r="E34" s="4">
        <v>3.1026893133421538</v>
      </c>
      <c r="F34" s="4">
        <v>5.9711896262637811</v>
      </c>
      <c r="G34" s="4">
        <v>6.044091512607519</v>
      </c>
      <c r="H34" s="4">
        <v>8.2907199285268938</v>
      </c>
      <c r="I34" s="6">
        <v>23600.268931334216</v>
      </c>
      <c r="J34" s="4">
        <v>4</v>
      </c>
      <c r="K34" s="4">
        <v>91232.271760105854</v>
      </c>
      <c r="L34" s="4">
        <v>55017.680275615552</v>
      </c>
      <c r="M34" s="4">
        <v>1.1575060154716061</v>
      </c>
      <c r="N34" s="4">
        <v>1.3575060154716061</v>
      </c>
      <c r="O34" s="4">
        <v>10.824576018537694</v>
      </c>
      <c r="P34" s="4">
        <v>8.6944675195217673</v>
      </c>
    </row>
    <row r="35" spans="1:16">
      <c r="A35" s="5">
        <v>45169</v>
      </c>
      <c r="B35" s="4">
        <v>4.7440072206124837</v>
      </c>
      <c r="C35" s="4">
        <v>2.712459210401327</v>
      </c>
      <c r="D35" s="4">
        <v>2.295841329837828</v>
      </c>
      <c r="E35" s="4">
        <v>3.2535544412981756</v>
      </c>
      <c r="F35" s="4">
        <v>5.795071312772075</v>
      </c>
      <c r="G35" s="4">
        <v>7.4183741802775254</v>
      </c>
      <c r="H35" s="4">
        <v>9.4290995236995894</v>
      </c>
      <c r="I35" s="6">
        <v>23643.355444129818</v>
      </c>
      <c r="J35" s="4">
        <v>4</v>
      </c>
      <c r="K35" s="4">
        <v>93042.653295578115</v>
      </c>
      <c r="L35" s="4">
        <v>55329.801607138972</v>
      </c>
      <c r="M35" s="4">
        <v>1.2419904871269785</v>
      </c>
      <c r="N35" s="4">
        <v>1.4419904871269784</v>
      </c>
      <c r="O35" s="4">
        <v>10.595635523596568</v>
      </c>
      <c r="P35" s="4">
        <v>8.5477256020449524</v>
      </c>
    </row>
    <row r="36" spans="1:16">
      <c r="A36" s="5">
        <v>45199</v>
      </c>
      <c r="B36" s="4">
        <v>4.7109103267945809</v>
      </c>
      <c r="C36" s="4">
        <v>2.5968630922557829</v>
      </c>
      <c r="D36" s="4">
        <v>2.2201729332258817</v>
      </c>
      <c r="E36" s="4">
        <v>3.46667652108105</v>
      </c>
      <c r="F36" s="4">
        <v>5.6377555084457294</v>
      </c>
      <c r="G36" s="4">
        <v>8.8158444339534547</v>
      </c>
      <c r="H36" s="4">
        <v>10.470638586329201</v>
      </c>
      <c r="I36" s="6">
        <v>23692.667652108106</v>
      </c>
      <c r="J36" s="4">
        <v>4</v>
      </c>
      <c r="K36" s="4">
        <v>95600.118252972607</v>
      </c>
      <c r="L36" s="4">
        <v>56026.893133421538</v>
      </c>
      <c r="M36" s="4">
        <v>1.3613388518053882</v>
      </c>
      <c r="N36" s="4">
        <v>1.5613388518053881</v>
      </c>
      <c r="O36" s="4">
        <v>10.365739470116566</v>
      </c>
      <c r="P36" s="4">
        <v>8.4113259340522397</v>
      </c>
    </row>
    <row r="37" spans="1:16">
      <c r="A37" s="5">
        <v>45230</v>
      </c>
      <c r="B37" s="4">
        <v>4.7000019786791265</v>
      </c>
      <c r="C37" s="4">
        <v>2.4882121319763177</v>
      </c>
      <c r="D37" s="4">
        <v>2.1505204046789932</v>
      </c>
      <c r="E37" s="4">
        <v>3.7361491860740204</v>
      </c>
      <c r="F37" s="4">
        <v>5.501697073795623</v>
      </c>
      <c r="G37" s="4">
        <v>10.180789544593646</v>
      </c>
      <c r="H37" s="4">
        <v>11.373814240755255</v>
      </c>
      <c r="I37" s="6">
        <v>23747.614918607404</v>
      </c>
      <c r="J37" s="4">
        <v>4</v>
      </c>
      <c r="K37" s="4">
        <v>98833.790232888248</v>
      </c>
      <c r="L37" s="4">
        <v>57098.076974343909</v>
      </c>
      <c r="M37" s="4">
        <v>1.5122435442014512</v>
      </c>
      <c r="N37" s="4">
        <v>1.7122435442014512</v>
      </c>
      <c r="O37" s="4">
        <v>10.13718490347053</v>
      </c>
      <c r="P37" s="4">
        <v>8.2863950093841439</v>
      </c>
    </row>
    <row r="38" spans="1:16">
      <c r="A38" s="5">
        <v>45260</v>
      </c>
      <c r="B38" s="4">
        <v>4.7115044172685412</v>
      </c>
      <c r="C38" s="4">
        <v>2.3882163094882065</v>
      </c>
      <c r="D38" s="4">
        <v>2.0870389797159281</v>
      </c>
      <c r="E38" s="4">
        <v>4.0545043956392277</v>
      </c>
      <c r="F38" s="4">
        <v>5.3890191551885493</v>
      </c>
      <c r="G38" s="4">
        <v>11.458793457970257</v>
      </c>
      <c r="H38" s="4">
        <v>12.102619723771387</v>
      </c>
      <c r="I38" s="6">
        <v>23807.450439563923</v>
      </c>
      <c r="J38" s="4">
        <v>4</v>
      </c>
      <c r="K38" s="4">
        <v>102654.05274767074</v>
      </c>
      <c r="L38" s="4">
        <v>58526.637664335198</v>
      </c>
      <c r="M38" s="4">
        <v>1.6905224615579675</v>
      </c>
      <c r="N38" s="4">
        <v>1.8905224615579674</v>
      </c>
      <c r="O38" s="4">
        <v>9.9122554653382888</v>
      </c>
      <c r="P38" s="4">
        <v>8.1739646041380674</v>
      </c>
    </row>
    <row r="39" spans="1:16">
      <c r="A39" s="5">
        <v>45291</v>
      </c>
      <c r="B39" s="4">
        <v>4.7451832978705477</v>
      </c>
      <c r="C39" s="4">
        <v>2.2984788610501559</v>
      </c>
      <c r="D39" s="4">
        <v>2.0298761807939139</v>
      </c>
      <c r="E39" s="4">
        <v>4.4129194009373069</v>
      </c>
      <c r="F39" s="4">
        <v>5.3014800538582678</v>
      </c>
      <c r="G39" s="4">
        <v>12.598906191031524</v>
      </c>
      <c r="H39" s="4">
        <v>12.627999860648433</v>
      </c>
      <c r="I39" s="6">
        <v>23871.291940093732</v>
      </c>
      <c r="J39" s="4">
        <v>4</v>
      </c>
      <c r="K39" s="4">
        <v>106955.03281124769</v>
      </c>
      <c r="L39" s="4">
        <v>60290.282991622589</v>
      </c>
      <c r="M39" s="4">
        <v>1.891234864524892</v>
      </c>
      <c r="N39" s="4">
        <v>2.0912348645248922</v>
      </c>
      <c r="O39" s="4">
        <v>9.6931985763138737</v>
      </c>
      <c r="P39" s="4">
        <v>8.0749632554641337</v>
      </c>
    </row>
    <row r="40" spans="1:16">
      <c r="A40" s="5">
        <v>45322</v>
      </c>
      <c r="B40" s="4">
        <v>5.6003524645148595</v>
      </c>
      <c r="C40" s="4">
        <v>2.2204765065689012</v>
      </c>
      <c r="D40" s="4">
        <v>1.9792100793387319</v>
      </c>
      <c r="E40" s="4">
        <v>4.8014612545026853</v>
      </c>
      <c r="F40" s="4">
        <v>5.240445788202825</v>
      </c>
      <c r="G40" s="4">
        <v>13.555675046944071</v>
      </c>
      <c r="H40" s="4">
        <v>12.929009403262002</v>
      </c>
      <c r="I40" s="6">
        <v>23938.146125450268</v>
      </c>
      <c r="J40" s="4">
        <v>4.5</v>
      </c>
      <c r="K40" s="4">
        <v>111617.53505403223</v>
      </c>
      <c r="L40" s="4">
        <v>62361.491860740207</v>
      </c>
      <c r="M40" s="4">
        <v>2.1088183025215037</v>
      </c>
      <c r="N40" s="4">
        <v>2.3088183025215039</v>
      </c>
      <c r="O40" s="4">
        <v>9.4822029804218388</v>
      </c>
      <c r="P40" s="4">
        <v>7.990208592988024</v>
      </c>
    </row>
    <row r="41" spans="1:16">
      <c r="A41" s="5">
        <v>45351</v>
      </c>
      <c r="B41" s="4">
        <v>5.6758879293375113</v>
      </c>
      <c r="C41" s="4">
        <v>2.1555412372378187</v>
      </c>
      <c r="D41" s="4">
        <v>1.9352828564001441</v>
      </c>
      <c r="E41" s="4">
        <v>5.209362087349426</v>
      </c>
      <c r="F41" s="4">
        <v>5.2068687775243374</v>
      </c>
      <c r="G41" s="4">
        <v>14.290956670681389</v>
      </c>
      <c r="H41" s="4">
        <v>12.993648051038633</v>
      </c>
      <c r="I41" s="6">
        <v>24006.936208734944</v>
      </c>
      <c r="J41" s="4">
        <v>4.5</v>
      </c>
      <c r="K41" s="4">
        <v>116512.34504819311</v>
      </c>
      <c r="L41" s="4">
        <v>64707.943750019207</v>
      </c>
      <c r="M41" s="4">
        <v>2.3372427689156785</v>
      </c>
      <c r="N41" s="4">
        <v>2.5372427689156787</v>
      </c>
      <c r="O41" s="4">
        <v>9.2813768759104658</v>
      </c>
      <c r="P41" s="4">
        <v>7.9204005861938249</v>
      </c>
    </row>
    <row r="42" spans="1:16">
      <c r="A42" s="5">
        <v>45382</v>
      </c>
      <c r="B42" s="4">
        <v>5.7702507721241201</v>
      </c>
      <c r="C42" s="4">
        <v>2.1048438881122848</v>
      </c>
      <c r="D42" s="4">
        <v>1.8984278225185822</v>
      </c>
      <c r="E42" s="4">
        <v>5.6253175247054319</v>
      </c>
      <c r="F42" s="4">
        <v>5.2012729798443198</v>
      </c>
      <c r="G42" s="4">
        <v>14.775437704220405</v>
      </c>
      <c r="H42" s="4">
        <v>12.819338865070517</v>
      </c>
      <c r="I42" s="6">
        <v>24076.531752470542</v>
      </c>
      <c r="J42" s="4">
        <v>4.5</v>
      </c>
      <c r="K42" s="4">
        <v>121503.81029646518</v>
      </c>
      <c r="L42" s="4">
        <v>67293.023062518536</v>
      </c>
      <c r="M42" s="4">
        <v>2.5701778138350417</v>
      </c>
      <c r="N42" s="4">
        <v>2.7701778138350419</v>
      </c>
      <c r="O42" s="4">
        <v>9.0927268508317471</v>
      </c>
      <c r="P42" s="4">
        <v>7.8661157635352277</v>
      </c>
    </row>
    <row r="43" spans="1:16">
      <c r="A43" s="5">
        <v>45412</v>
      </c>
      <c r="B43" s="4">
        <v>5.8815184934687155</v>
      </c>
      <c r="C43" s="4">
        <v>2.0693796982209336</v>
      </c>
      <c r="D43" s="4">
        <v>1.8690883672958547</v>
      </c>
      <c r="E43" s="4">
        <v>6.0377999702195391</v>
      </c>
      <c r="F43" s="4">
        <v>5.2237457157140064</v>
      </c>
      <c r="G43" s="4">
        <v>14.989803417622234</v>
      </c>
      <c r="H43" s="4">
        <v>12.41303100253776</v>
      </c>
      <c r="I43" s="6">
        <v>24145.779997021953</v>
      </c>
      <c r="J43" s="4">
        <v>4.5</v>
      </c>
      <c r="K43" s="4">
        <v>126453.59964263446</v>
      </c>
      <c r="L43" s="4">
        <v>70076.390500168825</v>
      </c>
      <c r="M43" s="4">
        <v>3.8011679833229417</v>
      </c>
      <c r="N43" s="4">
        <v>4.0011679833229419</v>
      </c>
      <c r="O43" s="4">
        <v>8.9181378338768607</v>
      </c>
      <c r="P43" s="4">
        <v>7.8278024510181412</v>
      </c>
    </row>
    <row r="44" spans="1:16">
      <c r="A44" s="5">
        <v>45443</v>
      </c>
      <c r="B44" s="4">
        <v>6.0074241827752273</v>
      </c>
      <c r="C44" s="4">
        <v>2.0499560362997107</v>
      </c>
      <c r="D44" s="4">
        <v>1.8478276856243872</v>
      </c>
      <c r="E44" s="4">
        <v>6.4353780764280497</v>
      </c>
      <c r="F44" s="4">
        <v>5.2739363056063508</v>
      </c>
      <c r="G44" s="4">
        <v>14.925507726363673</v>
      </c>
      <c r="H44" s="4">
        <v>11.790922675740941</v>
      </c>
      <c r="I44" s="6">
        <v>24213.537807642806</v>
      </c>
      <c r="J44" s="4">
        <v>4.5</v>
      </c>
      <c r="K44" s="4">
        <v>131224.5369171366</v>
      </c>
      <c r="L44" s="4">
        <v>73014.612545026859</v>
      </c>
      <c r="M44" s="4">
        <v>4.0238117227997083</v>
      </c>
      <c r="N44" s="4">
        <v>4.2238117227997085</v>
      </c>
      <c r="O44" s="4">
        <v>8.7593542607917652</v>
      </c>
      <c r="P44" s="4">
        <v>7.805777069578153</v>
      </c>
    </row>
    <row r="45" spans="1:16">
      <c r="A45" s="5">
        <v>45473</v>
      </c>
      <c r="B45" s="4">
        <v>6.1454027031131444</v>
      </c>
      <c r="C45" s="4">
        <v>2.0471824435270447</v>
      </c>
      <c r="D45" s="4">
        <v>1.8353285548629994</v>
      </c>
      <c r="E45" s="4">
        <v>6.807033547824199</v>
      </c>
      <c r="F45" s="4">
        <v>5.3510615421527614</v>
      </c>
      <c r="G45" s="4">
        <v>14.585113896758411</v>
      </c>
      <c r="H45" s="4">
        <v>10.9778153804931</v>
      </c>
      <c r="I45" s="6">
        <v>24278.703354782421</v>
      </c>
      <c r="J45" s="4">
        <v>4.5</v>
      </c>
      <c r="K45" s="4">
        <v>135684.40257389037</v>
      </c>
      <c r="L45" s="4">
        <v>76061.839224796422</v>
      </c>
      <c r="M45" s="4">
        <v>4.2319387867815514</v>
      </c>
      <c r="N45" s="4">
        <v>4.4319387867815516</v>
      </c>
      <c r="O45" s="4">
        <v>8.6179626445518558</v>
      </c>
      <c r="P45" s="4">
        <v>7.8002215218319799</v>
      </c>
    </row>
    <row r="46" spans="1:16">
      <c r="A46" s="5">
        <v>45504</v>
      </c>
      <c r="B46" s="4">
        <v>6.2926429519811808</v>
      </c>
      <c r="C46" s="4">
        <v>2.0614631160629004</v>
      </c>
      <c r="D46" s="4">
        <v>1.8323828976805565</v>
      </c>
      <c r="E46" s="4">
        <v>7.1424664967969722</v>
      </c>
      <c r="F46" s="4">
        <v>5.4539179118321339</v>
      </c>
      <c r="G46" s="4">
        <v>13.982192356617963</v>
      </c>
      <c r="H46" s="4">
        <v>10.006125138747308</v>
      </c>
      <c r="I46" s="6">
        <v>24340.246649679699</v>
      </c>
      <c r="J46" s="4">
        <v>4.5</v>
      </c>
      <c r="K46" s="4">
        <v>139709.59796156368</v>
      </c>
      <c r="L46" s="4">
        <v>79170.519586311086</v>
      </c>
      <c r="M46" s="4">
        <v>4.4197812382063049</v>
      </c>
      <c r="N46" s="4">
        <v>4.619781238206305</v>
      </c>
      <c r="O46" s="4">
        <v>8.4953757234487473</v>
      </c>
      <c r="P46" s="4">
        <v>7.8111816897851201</v>
      </c>
    </row>
    <row r="47" spans="1:16">
      <c r="A47" s="5">
        <v>45535</v>
      </c>
      <c r="B47" s="4">
        <v>6.4461451332453477</v>
      </c>
      <c r="C47" s="4">
        <v>2.092991920104442</v>
      </c>
      <c r="D47" s="4">
        <v>1.8398713396792648</v>
      </c>
      <c r="E47" s="4">
        <v>7.4323808899462076</v>
      </c>
      <c r="F47" s="4">
        <v>5.5809003753968263</v>
      </c>
      <c r="G47" s="4">
        <v>13.140779685118794</v>
      </c>
      <c r="H47" s="4">
        <v>8.9145901740961122</v>
      </c>
      <c r="I47" s="6">
        <v>24397.238088994622</v>
      </c>
      <c r="J47" s="4">
        <v>4.5</v>
      </c>
      <c r="K47" s="4">
        <v>143188.57067935448</v>
      </c>
      <c r="L47" s="4">
        <v>82292.143712254445</v>
      </c>
      <c r="M47" s="4">
        <v>4.5821332983698762</v>
      </c>
      <c r="N47" s="4">
        <v>4.7821332983698763</v>
      </c>
      <c r="O47" s="4">
        <v>8.3928183454762539</v>
      </c>
      <c r="P47" s="4">
        <v>7.8385670559028018</v>
      </c>
    </row>
    <row r="48" spans="1:16">
      <c r="A48" s="5">
        <v>45565</v>
      </c>
      <c r="B48" s="4">
        <v>6.6027818734228134</v>
      </c>
      <c r="C48" s="4">
        <v>2.1417500009375332</v>
      </c>
      <c r="D48" s="4">
        <v>1.8587334395158857</v>
      </c>
      <c r="E48" s="4">
        <v>7.668742174047015</v>
      </c>
      <c r="F48" s="4">
        <v>5.7300274139732945</v>
      </c>
      <c r="G48" s="4">
        <v>12.094420350242331</v>
      </c>
      <c r="H48" s="4">
        <v>7.7467265410423707</v>
      </c>
      <c r="I48" s="6">
        <v>24448.8742174047</v>
      </c>
      <c r="J48" s="4">
        <v>4.5</v>
      </c>
      <c r="K48" s="4">
        <v>146024.90608856417</v>
      </c>
      <c r="L48" s="4">
        <v>85377.99970219539</v>
      </c>
      <c r="M48" s="4">
        <v>4.7144956174663282</v>
      </c>
      <c r="N48" s="4">
        <v>4.9144956174663283</v>
      </c>
      <c r="O48" s="4">
        <v>8.3113152300541131</v>
      </c>
      <c r="P48" s="4">
        <v>7.8821514506737236</v>
      </c>
    </row>
    <row r="49" spans="1:16">
      <c r="A49" s="5">
        <v>45596</v>
      </c>
      <c r="B49" s="4">
        <v>6.7593619371602234</v>
      </c>
      <c r="C49" s="4">
        <v>2.2075060154716062</v>
      </c>
      <c r="D49" s="4">
        <v>1.8899297125199577</v>
      </c>
      <c r="E49" s="4">
        <v>7.8449999419368472</v>
      </c>
      <c r="F49" s="4">
        <v>5.8989719500013829</v>
      </c>
      <c r="G49" s="4">
        <v>10.884829396692297</v>
      </c>
      <c r="H49" s="4">
        <v>6.5490932772291446</v>
      </c>
      <c r="I49" s="6">
        <v>24494.499994193684</v>
      </c>
      <c r="J49" s="4">
        <v>4.5</v>
      </c>
      <c r="K49" s="4">
        <v>148139.99930324216</v>
      </c>
      <c r="L49" s="4">
        <v>88379.933805502136</v>
      </c>
      <c r="M49" s="4">
        <v>4.8131999674846346</v>
      </c>
      <c r="N49" s="4">
        <v>5.0131999674846348</v>
      </c>
      <c r="O49" s="4">
        <v>8.2516807293702765</v>
      </c>
      <c r="P49" s="4">
        <v>7.941574920492612</v>
      </c>
    </row>
    <row r="50" spans="1:16">
      <c r="A50" s="5">
        <v>45626</v>
      </c>
      <c r="B50" s="4">
        <v>6.9126952438004841</v>
      </c>
      <c r="C50" s="4">
        <v>2.2898189853900455</v>
      </c>
      <c r="D50" s="4">
        <v>1.934396968210095</v>
      </c>
      <c r="E50" s="4">
        <v>7.9562694674659333</v>
      </c>
      <c r="F50" s="4">
        <v>6.0850976605013347</v>
      </c>
      <c r="G50" s="4">
        <v>9.5602293987017326</v>
      </c>
      <c r="H50" s="4">
        <v>5.3694362415343448</v>
      </c>
      <c r="I50" s="6">
        <v>24533.626946746594</v>
      </c>
      <c r="J50" s="4">
        <v>4.5</v>
      </c>
      <c r="K50" s="4">
        <v>149475.2336095912</v>
      </c>
      <c r="L50" s="4">
        <v>91251.101844515448</v>
      </c>
      <c r="M50" s="4">
        <v>4.8755109017809222</v>
      </c>
      <c r="N50" s="4">
        <v>5.0755109017809223</v>
      </c>
      <c r="O50" s="4">
        <v>8.2145106916430315</v>
      </c>
      <c r="P50" s="4">
        <v>8.0163467004351965</v>
      </c>
    </row>
    <row r="51" spans="1:16">
      <c r="A51" s="5">
        <v>45657</v>
      </c>
      <c r="B51" s="4">
        <v>7.05965786042439</v>
      </c>
      <c r="C51" s="4">
        <v>2.388043735728238</v>
      </c>
      <c r="D51" s="4">
        <v>1.9929988208189098</v>
      </c>
      <c r="E51" s="4">
        <v>7.9994670785355524</v>
      </c>
      <c r="F51" s="4">
        <v>6.2855001160121553</v>
      </c>
      <c r="G51" s="4">
        <v>8.1734279781735051</v>
      </c>
      <c r="H51" s="4">
        <v>4.254784637348072</v>
      </c>
      <c r="I51" s="6">
        <v>24565.946707853556</v>
      </c>
      <c r="J51" s="4">
        <v>4.5</v>
      </c>
      <c r="K51" s="4">
        <v>149993.60494242664</v>
      </c>
      <c r="L51" s="4">
        <v>93946.700202273511</v>
      </c>
      <c r="M51" s="4">
        <v>4.8997015639799093</v>
      </c>
      <c r="N51" s="4">
        <v>5.0997015639799095</v>
      </c>
      <c r="O51" s="4">
        <v>8.2001765076025688</v>
      </c>
      <c r="P51" s="4">
        <v>8.1058492673741203</v>
      </c>
    </row>
    <row r="52" spans="1:16">
      <c r="A52" s="5">
        <v>45688</v>
      </c>
      <c r="B52" s="4">
        <v>7.1972556472326756</v>
      </c>
      <c r="C52" s="4">
        <v>2.5013388518053885</v>
      </c>
      <c r="D52" s="4">
        <v>2.0664734955607926</v>
      </c>
      <c r="E52" s="4">
        <v>7.9733956165584541</v>
      </c>
      <c r="F52" s="4">
        <v>6.4970521032419333</v>
      </c>
      <c r="G52" s="4">
        <v>6.7797125314391424</v>
      </c>
      <c r="H52" s="4">
        <v>3.2495761066427074</v>
      </c>
      <c r="I52" s="6">
        <v>24591.339561655845</v>
      </c>
      <c r="J52" s="4">
        <v>4.5</v>
      </c>
      <c r="K52" s="4">
        <v>149680.74739870144</v>
      </c>
      <c r="L52" s="4">
        <v>96424.664967969729</v>
      </c>
      <c r="M52" s="4">
        <v>4.8851015452727342</v>
      </c>
      <c r="N52" s="4">
        <v>5.0851015452727344</v>
      </c>
      <c r="O52" s="4">
        <v>8.2088213996775661</v>
      </c>
      <c r="P52" s="4">
        <v>8.2093434399620158</v>
      </c>
    </row>
    <row r="53" spans="1:16">
      <c r="A53" s="5">
        <v>45716</v>
      </c>
      <c r="B53" s="4">
        <v>7.3226852585906679</v>
      </c>
      <c r="C53" s="4">
        <v>2.6286770563774144</v>
      </c>
      <c r="D53" s="4">
        <v>2.1553812305270288</v>
      </c>
      <c r="E53" s="4">
        <v>7.878777613957503</v>
      </c>
      <c r="F53" s="4">
        <v>6.7164524241853423</v>
      </c>
      <c r="G53" s="4">
        <v>5.4346460952365012</v>
      </c>
      <c r="H53" s="4">
        <v>2.3938851414185054</v>
      </c>
      <c r="I53" s="6">
        <v>24609.87776139575</v>
      </c>
      <c r="J53" s="4">
        <v>4.5</v>
      </c>
      <c r="K53" s="4">
        <v>148545.33136749003</v>
      </c>
      <c r="L53" s="4">
        <v>98646.328330212185</v>
      </c>
      <c r="M53" s="4">
        <v>4.8321154638162014</v>
      </c>
      <c r="N53" s="4">
        <v>5.0321154638162016</v>
      </c>
      <c r="O53" s="4">
        <v>8.2403589909640349</v>
      </c>
      <c r="P53" s="4">
        <v>8.3259744833621738</v>
      </c>
    </row>
    <row r="54" spans="1:16">
      <c r="A54" s="5">
        <v>45747</v>
      </c>
      <c r="B54" s="4">
        <v>7.4333912569319915</v>
      </c>
      <c r="C54" s="4">
        <v>2.7688578790296487</v>
      </c>
      <c r="D54" s="4">
        <v>2.2600536568517748</v>
      </c>
      <c r="E54" s="4">
        <v>7.7182352702367361</v>
      </c>
      <c r="F54" s="4">
        <v>6.9402774102143976</v>
      </c>
      <c r="G54" s="4">
        <v>4.1918522237744114</v>
      </c>
      <c r="H54" s="4">
        <v>1.7218254401699795</v>
      </c>
      <c r="I54" s="6">
        <v>24621.823527023673</v>
      </c>
      <c r="J54" s="4">
        <v>4.5</v>
      </c>
      <c r="K54" s="4">
        <v>146618.82324284082</v>
      </c>
      <c r="L54" s="4">
        <v>100577.02197528764</v>
      </c>
      <c r="M54" s="4">
        <v>4.7422117513325723</v>
      </c>
      <c r="N54" s="4">
        <v>4.9422117513325725</v>
      </c>
      <c r="O54" s="4">
        <v>8.2944741682747818</v>
      </c>
      <c r="P54" s="4">
        <v>8.4547791683091837</v>
      </c>
    </row>
    <row r="55" spans="1:16">
      <c r="A55" s="5">
        <v>45777</v>
      </c>
      <c r="B55" s="4">
        <v>7.527118175912447</v>
      </c>
      <c r="C55" s="4">
        <v>2.9205224615579679</v>
      </c>
      <c r="D55" s="4">
        <v>2.3805475240392595</v>
      </c>
      <c r="E55" s="4">
        <v>7.4962177815587259</v>
      </c>
      <c r="F55" s="4">
        <v>7.1650343472823197</v>
      </c>
      <c r="G55" s="4">
        <v>3.1008771868452039</v>
      </c>
      <c r="H55" s="4">
        <v>1.2601899023788725</v>
      </c>
      <c r="I55" s="6">
        <v>24627.621778155873</v>
      </c>
      <c r="J55" s="4">
        <v>4.25</v>
      </c>
      <c r="K55" s="4">
        <v>143954.6133787047</v>
      </c>
      <c r="L55" s="4">
        <v>102186.61807460188</v>
      </c>
      <c r="M55" s="4">
        <v>4.6178819576728865</v>
      </c>
      <c r="N55" s="4">
        <v>4.8178819576728866</v>
      </c>
      <c r="O55" s="4">
        <v>8.3706262306462165</v>
      </c>
      <c r="P55" s="4">
        <v>8.5946937262003953</v>
      </c>
    </row>
    <row r="56" spans="1:16">
      <c r="A56" s="5">
        <v>45808</v>
      </c>
      <c r="B56" s="4">
        <v>7.6019564721064441</v>
      </c>
      <c r="C56" s="4">
        <v>3.0821703167438086</v>
      </c>
      <c r="D56" s="4">
        <v>2.5166050229266781</v>
      </c>
      <c r="E56" s="4">
        <v>7.2188780377826545</v>
      </c>
      <c r="F56" s="4">
        <v>7.3872159785580678</v>
      </c>
      <c r="G56" s="4">
        <v>2.2052147164004241</v>
      </c>
      <c r="H56" s="4">
        <v>1.0273824801617355</v>
      </c>
      <c r="I56" s="6">
        <v>24627.887803778267</v>
      </c>
      <c r="J56" s="4">
        <v>4.25</v>
      </c>
      <c r="K56" s="4">
        <v>140626.53645339186</v>
      </c>
      <c r="L56" s="4">
        <v>103449.99941936847</v>
      </c>
      <c r="M56" s="4">
        <v>4.4625717011582866</v>
      </c>
      <c r="N56" s="4">
        <v>4.6625717011582868</v>
      </c>
      <c r="O56" s="4">
        <v>8.4680542918436483</v>
      </c>
      <c r="P56" s="4">
        <v>8.744562634518914</v>
      </c>
    </row>
    <row r="57" spans="1:16">
      <c r="A57" s="5">
        <v>45838</v>
      </c>
      <c r="B57" s="4">
        <v>7.6563814290500867</v>
      </c>
      <c r="C57" s="4">
        <v>3.2521778338374205</v>
      </c>
      <c r="D57" s="4">
        <v>2.6676227495148592</v>
      </c>
      <c r="E57" s="4">
        <v>6.8939021041243231</v>
      </c>
      <c r="F57" s="4">
        <v>7.6033552339961537</v>
      </c>
      <c r="G57" s="4">
        <v>1.540572048710354</v>
      </c>
      <c r="H57" s="4">
        <v>1.032684470776065</v>
      </c>
      <c r="I57" s="6">
        <v>24623.390210412432</v>
      </c>
      <c r="J57" s="4">
        <v>4.25</v>
      </c>
      <c r="K57" s="4">
        <v>136726.82524949187</v>
      </c>
      <c r="L57" s="4">
        <v>104347.45136625116</v>
      </c>
      <c r="M57" s="4">
        <v>4.2805851783096207</v>
      </c>
      <c r="N57" s="4">
        <v>4.4805851783096209</v>
      </c>
      <c r="O57" s="4">
        <v>8.5857848828850276</v>
      </c>
      <c r="P57" s="4">
        <v>8.9031481600312947</v>
      </c>
    </row>
    <row r="58" spans="1:16">
      <c r="A58" s="5">
        <v>45869</v>
      </c>
      <c r="B58" s="4">
        <v>7.6892842210201984</v>
      </c>
      <c r="C58" s="4">
        <v>3.4288183025215035</v>
      </c>
      <c r="D58" s="4">
        <v>2.8326310565082053</v>
      </c>
      <c r="E58" s="4">
        <v>6.5302962131043918</v>
      </c>
      <c r="F58" s="4">
        <v>7.8100793328051115</v>
      </c>
      <c r="G58" s="4">
        <v>1.1334463895345595</v>
      </c>
      <c r="H58" s="4">
        <v>1.2758845005874662</v>
      </c>
      <c r="I58" s="6">
        <v>24615.029621310438</v>
      </c>
      <c r="J58" s="4">
        <v>4.25</v>
      </c>
      <c r="K58" s="4">
        <v>132363.5545572527</v>
      </c>
      <c r="L58" s="4">
        <v>104864.96947777941</v>
      </c>
      <c r="M58" s="4">
        <v>4.0769658793384593</v>
      </c>
      <c r="N58" s="4">
        <v>4.2769658793384595</v>
      </c>
      <c r="O58" s="4">
        <v>8.7226416786212297</v>
      </c>
      <c r="P58" s="4">
        <v>9.0691405809448611</v>
      </c>
    </row>
    <row r="59" spans="1:16">
      <c r="A59" s="5">
        <v>45900</v>
      </c>
      <c r="B59" s="4">
        <v>7.6999945036720208</v>
      </c>
      <c r="C59" s="4">
        <v>3.6102832084000731</v>
      </c>
      <c r="D59" s="4">
        <v>3.0102851670899327</v>
      </c>
      <c r="E59" s="4">
        <v>6.1381371699912943</v>
      </c>
      <c r="F59" s="4">
        <v>8.0041624145636927</v>
      </c>
      <c r="G59" s="4">
        <v>1.0000685541450753</v>
      </c>
      <c r="H59" s="4">
        <v>1.7472869518694285</v>
      </c>
      <c r="I59" s="6">
        <v>24603.813716999128</v>
      </c>
      <c r="J59" s="4">
        <v>4.25</v>
      </c>
      <c r="K59" s="4">
        <v>127657.64603989552</v>
      </c>
      <c r="L59" s="4">
        <v>104994.47805691123</v>
      </c>
      <c r="M59" s="4">
        <v>3.857356815195125</v>
      </c>
      <c r="N59" s="4">
        <v>4.0573568151951251</v>
      </c>
      <c r="O59" s="4">
        <v>8.8772572511880981</v>
      </c>
      <c r="P59" s="4">
        <v>9.241169003602149</v>
      </c>
    </row>
    <row r="60" spans="1:16">
      <c r="A60" s="5">
        <v>45930</v>
      </c>
      <c r="B60" s="4">
        <v>7.6882940712857195</v>
      </c>
      <c r="C60" s="4">
        <v>3.7947045373756136</v>
      </c>
      <c r="D60" s="4">
        <v>3.1988689915453503</v>
      </c>
      <c r="E60" s="4">
        <v>5.7282930888868728</v>
      </c>
      <c r="F60" s="4">
        <v>8.1825758776938198</v>
      </c>
      <c r="G60" s="4">
        <v>1.1457558959407779</v>
      </c>
      <c r="H60" s="4">
        <v>2.4280984964858003</v>
      </c>
      <c r="I60" s="6">
        <v>24590.829308888686</v>
      </c>
      <c r="J60" s="4">
        <v>4.25</v>
      </c>
      <c r="K60" s="4">
        <v>122739.51706664248</v>
      </c>
      <c r="L60" s="4">
        <v>104733.95616558455</v>
      </c>
      <c r="M60" s="4">
        <v>3.6278441297766491</v>
      </c>
      <c r="N60" s="4">
        <v>3.8278441297766492</v>
      </c>
      <c r="O60" s="4">
        <v>9.0480867328936601</v>
      </c>
      <c r="P60" s="4">
        <v>9.4178126843798893</v>
      </c>
    </row>
    <row r="61" spans="1:16">
      <c r="A61" s="5">
        <v>45961</v>
      </c>
      <c r="B61" s="4">
        <v>7.6544213023760577</v>
      </c>
      <c r="C61" s="4">
        <v>3.9801778138350419</v>
      </c>
      <c r="D61" s="4">
        <v>3.3963121087021069</v>
      </c>
      <c r="E61" s="4">
        <v>5.3121221988454765</v>
      </c>
      <c r="F61" s="4">
        <v>8.3425356397752779</v>
      </c>
      <c r="G61" s="4">
        <v>1.5647003203472698</v>
      </c>
      <c r="H61" s="4">
        <v>3.2911773265778006</v>
      </c>
      <c r="I61" s="6">
        <v>24577.212219884546</v>
      </c>
      <c r="J61" s="4">
        <v>4.25</v>
      </c>
      <c r="K61" s="4">
        <v>117745.46638614572</v>
      </c>
      <c r="L61" s="4">
        <v>104087.4691607797</v>
      </c>
      <c r="M61" s="4">
        <v>3.3947884313534669</v>
      </c>
      <c r="N61" s="4">
        <v>3.594788431353467</v>
      </c>
      <c r="O61" s="4">
        <v>9.2334232520254336</v>
      </c>
      <c r="P61" s="4">
        <v>9.5976127632875095</v>
      </c>
    </row>
    <row r="62" spans="1:16">
      <c r="A62" s="5">
        <v>45991</v>
      </c>
      <c r="B62" s="4">
        <v>7.5990663030927035</v>
      </c>
      <c r="C62" s="4">
        <v>4.1647855885149259</v>
      </c>
      <c r="D62" s="4">
        <v>3.600219869521184</v>
      </c>
      <c r="E62" s="4">
        <v>4.9011580671742099</v>
      </c>
      <c r="F62" s="4">
        <v>8.4815455822207095</v>
      </c>
      <c r="G62" s="4">
        <v>2.2401998352190375</v>
      </c>
      <c r="H62" s="4">
        <v>4.3021152127923914</v>
      </c>
      <c r="I62" s="6">
        <v>24564.115806717422</v>
      </c>
      <c r="J62" s="4">
        <v>4.25</v>
      </c>
      <c r="K62" s="4">
        <v>112813.89680609052</v>
      </c>
      <c r="L62" s="4">
        <v>103065.10525598351</v>
      </c>
      <c r="M62" s="4">
        <v>3.1646485176175578</v>
      </c>
      <c r="N62" s="4">
        <v>3.364648517617558</v>
      </c>
      <c r="O62" s="4">
        <v>9.4314149873483579</v>
      </c>
      <c r="P62" s="4">
        <v>9.7790843123600535</v>
      </c>
    </row>
    <row r="63" spans="1:16">
      <c r="A63" s="5">
        <v>46022</v>
      </c>
      <c r="B63" s="4">
        <v>7.5233568473570127</v>
      </c>
      <c r="C63" s="4">
        <v>4.3466210863704937</v>
      </c>
      <c r="D63" s="4">
        <v>3.8079160694150693</v>
      </c>
      <c r="E63" s="4">
        <v>4.5067899634900943</v>
      </c>
      <c r="F63" s="4">
        <v>8.5974365013713356</v>
      </c>
      <c r="G63" s="4">
        <v>3.1453244065601433</v>
      </c>
      <c r="H63" s="4">
        <v>5.4206092518051943</v>
      </c>
      <c r="I63" s="6">
        <v>24552.678996349008</v>
      </c>
      <c r="J63" s="4">
        <v>4.25</v>
      </c>
      <c r="K63" s="4">
        <v>108081.47956188113</v>
      </c>
      <c r="L63" s="4">
        <v>101682.81809799184</v>
      </c>
      <c r="M63" s="4">
        <v>2.9438023795544526</v>
      </c>
      <c r="N63" s="4">
        <v>3.1438023795544527</v>
      </c>
      <c r="O63" s="4">
        <v>9.6400836708904567</v>
      </c>
      <c r="P63" s="4">
        <v>9.9607285993405643</v>
      </c>
    </row>
    <row r="64" spans="1:16">
      <c r="A64" s="5">
        <v>46053</v>
      </c>
      <c r="B64" s="4">
        <v>7.4288354001836012</v>
      </c>
      <c r="C64" s="4">
        <v>4.5238117227997083</v>
      </c>
      <c r="D64" s="4">
        <v>4.0164971391996209</v>
      </c>
      <c r="E64" s="4">
        <v>4.1399472227765752</v>
      </c>
      <c r="F64" s="4">
        <v>8.6883999581945304</v>
      </c>
      <c r="G64" s="4">
        <v>4.2439895739969558</v>
      </c>
      <c r="H64" s="4">
        <v>6.6020686158927955</v>
      </c>
      <c r="I64" s="6">
        <v>24543.994722277657</v>
      </c>
      <c r="J64" s="4">
        <v>4.25</v>
      </c>
      <c r="K64" s="4">
        <v>103679.3666733189</v>
      </c>
      <c r="L64" s="4">
        <v>99962.17781558726</v>
      </c>
      <c r="M64" s="4">
        <v>2.7383704447548824</v>
      </c>
      <c r="N64" s="4">
        <v>2.9383704447548826</v>
      </c>
      <c r="O64" s="4">
        <v>9.8573443541424712</v>
      </c>
      <c r="P64" s="4">
        <v>10.141045465368986</v>
      </c>
    </row>
    <row r="65" spans="1:16">
      <c r="A65" s="5">
        <v>46081</v>
      </c>
      <c r="B65" s="4">
        <v>7.3174276923015977</v>
      </c>
      <c r="C65" s="4">
        <v>4.6945421981971762</v>
      </c>
      <c r="D65" s="4">
        <v>4.2228963417498102</v>
      </c>
      <c r="E65" s="4">
        <v>3.8107963548554276</v>
      </c>
      <c r="F65" s="4">
        <v>8.7530164983700836</v>
      </c>
      <c r="G65" s="4">
        <v>5.4923950243421995</v>
      </c>
      <c r="H65" s="4">
        <v>7.799392248519653</v>
      </c>
      <c r="I65" s="6">
        <v>24539.079635485541</v>
      </c>
      <c r="J65" s="4">
        <v>4.25</v>
      </c>
      <c r="K65" s="4">
        <v>99729.556258265133</v>
      </c>
      <c r="L65" s="4">
        <v>97930.034424893645</v>
      </c>
      <c r="M65" s="4">
        <v>2.5540459587190396</v>
      </c>
      <c r="N65" s="4">
        <v>2.7540459587190398</v>
      </c>
      <c r="O65" s="4">
        <v>10.081026240174179</v>
      </c>
      <c r="P65" s="4">
        <v>10.31854571445305</v>
      </c>
    </row>
    <row r="66" spans="1:16">
      <c r="A66" s="5">
        <v>46112</v>
      </c>
      <c r="B66" s="4">
        <v>7.1914034863198681</v>
      </c>
      <c r="C66" s="4">
        <v>4.8570768860131874</v>
      </c>
      <c r="D66" s="4">
        <v>4.4239560509235254</v>
      </c>
      <c r="E66" s="4">
        <v>3.5284592944419395</v>
      </c>
      <c r="F66" s="4">
        <v>8.7902778024001176</v>
      </c>
      <c r="G66" s="4">
        <v>6.840770771861834</v>
      </c>
      <c r="H66" s="4">
        <v>8.9648466348261575</v>
      </c>
      <c r="I66" s="6">
        <v>24538.845929444193</v>
      </c>
      <c r="J66" s="4">
        <v>4.25</v>
      </c>
      <c r="K66" s="4">
        <v>96341.511533303274</v>
      </c>
      <c r="L66" s="4">
        <v>95618.098843854808</v>
      </c>
      <c r="M66" s="4">
        <v>2.3959372048874861</v>
      </c>
      <c r="N66" s="4">
        <v>2.5959372048874862</v>
      </c>
      <c r="O66" s="4">
        <v>10.308894373519758</v>
      </c>
      <c r="P66" s="4">
        <v>10.491763412399322</v>
      </c>
    </row>
    <row r="67" spans="1:16">
      <c r="A67" s="5">
        <v>46142</v>
      </c>
      <c r="B67" s="4">
        <v>7.0533303337659321</v>
      </c>
      <c r="C67" s="4">
        <v>5.0097812382063047</v>
      </c>
      <c r="D67" s="4">
        <v>4.6165058476505321</v>
      </c>
      <c r="E67" s="4">
        <v>3.3007606000708249</v>
      </c>
      <c r="F67" s="4">
        <v>8.7996024200976084</v>
      </c>
      <c r="G67" s="4">
        <v>8.2353613305479563</v>
      </c>
      <c r="H67" s="4">
        <v>10.051968786234243</v>
      </c>
      <c r="I67" s="6">
        <v>24544.076060007083</v>
      </c>
      <c r="J67" s="4">
        <v>4.25</v>
      </c>
      <c r="K67" s="4">
        <v>93609.127200849907</v>
      </c>
      <c r="L67" s="4">
        <v>93062.448053966014</v>
      </c>
      <c r="M67" s="4">
        <v>2.2684259360396619</v>
      </c>
      <c r="N67" s="4">
        <v>2.4684259360396621</v>
      </c>
      <c r="O67" s="4">
        <v>10.538671971114004</v>
      </c>
      <c r="P67" s="4">
        <v>10.659267993630369</v>
      </c>
    </row>
  </sheetData>
  <mergeCells count="1">
    <mergeCell ref="A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0"/>
  <sheetViews>
    <sheetView workbookViewId="0">
      <selection activeCell="O22" sqref="O22"/>
    </sheetView>
  </sheetViews>
  <sheetFormatPr defaultRowHeight="14.25"/>
  <cols>
    <col min="1" max="1" width="10.125" bestFit="1" customWidth="1"/>
    <col min="2" max="2" width="5" bestFit="1" customWidth="1"/>
    <col min="3" max="4" width="14" customWidth="1"/>
    <col min="5" max="5" width="4.375" bestFit="1" customWidth="1"/>
    <col min="6" max="6" width="5.375" bestFit="1" customWidth="1"/>
    <col min="7" max="7" width="4.375" bestFit="1" customWidth="1"/>
    <col min="8" max="9" width="5.375" bestFit="1" customWidth="1"/>
    <col min="10" max="10" width="4.375" bestFit="1" customWidth="1"/>
    <col min="11" max="12" width="5.375" bestFit="1" customWidth="1"/>
  </cols>
  <sheetData>
    <row r="1" spans="1:12" ht="27.95" customHeight="1">
      <c r="A1" s="10" t="s">
        <v>91</v>
      </c>
      <c r="B1" s="10" t="s">
        <v>91</v>
      </c>
      <c r="C1" s="10" t="s">
        <v>91</v>
      </c>
      <c r="D1" s="10" t="s">
        <v>91</v>
      </c>
      <c r="E1" s="10" t="s">
        <v>91</v>
      </c>
      <c r="F1" s="10" t="s">
        <v>91</v>
      </c>
      <c r="G1" s="10" t="s">
        <v>91</v>
      </c>
      <c r="H1" s="10" t="s">
        <v>91</v>
      </c>
      <c r="I1" s="10" t="s">
        <v>91</v>
      </c>
      <c r="J1" s="10" t="s">
        <v>91</v>
      </c>
      <c r="K1" s="10" t="s">
        <v>91</v>
      </c>
      <c r="L1" s="10" t="s">
        <v>91</v>
      </c>
    </row>
    <row r="3" spans="1:12" ht="25.5">
      <c r="A3" s="3" t="s">
        <v>75</v>
      </c>
      <c r="B3" s="3" t="s">
        <v>92</v>
      </c>
      <c r="C3" s="3" t="s">
        <v>93</v>
      </c>
      <c r="D3" s="3" t="s">
        <v>90</v>
      </c>
      <c r="E3" s="3" t="s">
        <v>94</v>
      </c>
      <c r="F3" s="3" t="s">
        <v>95</v>
      </c>
      <c r="G3" s="3" t="s">
        <v>96</v>
      </c>
      <c r="H3" s="3" t="s">
        <v>97</v>
      </c>
      <c r="I3" s="3" t="s">
        <v>98</v>
      </c>
      <c r="J3" s="3" t="s">
        <v>99</v>
      </c>
      <c r="K3" s="3" t="s">
        <v>100</v>
      </c>
      <c r="L3" s="3" t="s">
        <v>101</v>
      </c>
    </row>
    <row r="4" spans="1:12">
      <c r="A4" s="5">
        <v>44286</v>
      </c>
      <c r="B4" t="s">
        <v>102</v>
      </c>
      <c r="C4" s="4">
        <v>11</v>
      </c>
      <c r="D4" s="4">
        <v>10</v>
      </c>
      <c r="E4" s="4">
        <v>3</v>
      </c>
      <c r="F4" s="4">
        <v>16</v>
      </c>
      <c r="G4" s="4">
        <v>2</v>
      </c>
      <c r="H4" s="4">
        <v>78</v>
      </c>
      <c r="I4" s="4">
        <v>11</v>
      </c>
      <c r="J4" s="4">
        <v>1.2</v>
      </c>
      <c r="K4" s="4">
        <v>14</v>
      </c>
      <c r="L4" s="4">
        <v>38</v>
      </c>
    </row>
    <row r="5" spans="1:12">
      <c r="A5" s="5">
        <v>44286</v>
      </c>
      <c r="B5" t="s">
        <v>103</v>
      </c>
      <c r="C5" s="4">
        <v>12.694807918509046</v>
      </c>
      <c r="D5" s="4">
        <v>10.957604795431109</v>
      </c>
      <c r="E5" s="4">
        <v>3.3543677462019743</v>
      </c>
      <c r="F5" s="4">
        <v>21.781584090388456</v>
      </c>
      <c r="G5" s="4">
        <v>2.2103677462019742</v>
      </c>
      <c r="H5" s="4">
        <v>82.797127693021025</v>
      </c>
      <c r="I5" s="4">
        <v>12.441470984807896</v>
      </c>
      <c r="J5" s="4">
        <v>1.4462206477211843</v>
      </c>
      <c r="K5" s="4">
        <v>16.454389393592304</v>
      </c>
      <c r="L5" s="4">
        <v>39.084412954423691</v>
      </c>
    </row>
    <row r="6" spans="1:12">
      <c r="A6" s="5">
        <v>44286</v>
      </c>
      <c r="B6" t="s">
        <v>104</v>
      </c>
      <c r="C6" s="4">
        <v>13.558851077208406</v>
      </c>
      <c r="D6" s="4">
        <v>11.500953016155572</v>
      </c>
      <c r="E6" s="4">
        <v>3.4193243567064204</v>
      </c>
      <c r="F6" s="4">
        <v>24.255109409209211</v>
      </c>
      <c r="G6" s="4">
        <v>2.2273243567064203</v>
      </c>
      <c r="H6" s="4">
        <v>85.407354924039481</v>
      </c>
      <c r="I6" s="4">
        <v>12.709297426825682</v>
      </c>
      <c r="J6" s="4">
        <v>1.4963946140238522</v>
      </c>
      <c r="K6" s="4">
        <v>17.636739606139471</v>
      </c>
      <c r="L6" s="4">
        <v>38.807892280477041</v>
      </c>
    </row>
    <row r="7" spans="1:12">
      <c r="A7" s="5">
        <v>44286</v>
      </c>
      <c r="B7" t="s">
        <v>105</v>
      </c>
      <c r="C7" s="4">
        <v>13.763277520046669</v>
      </c>
      <c r="D7" s="4">
        <v>11.716356452111063</v>
      </c>
      <c r="E7" s="4">
        <v>3.2032800020149668</v>
      </c>
      <c r="F7" s="4">
        <v>24.12441295442369</v>
      </c>
      <c r="G7" s="4">
        <v>2.0352800020149666</v>
      </c>
      <c r="H7" s="4">
        <v>85.787474933020263</v>
      </c>
      <c r="I7" s="4">
        <v>11.841120008059866</v>
      </c>
      <c r="J7" s="4">
        <v>1.36116800120898</v>
      </c>
      <c r="K7" s="4">
        <v>17.782941969615795</v>
      </c>
      <c r="L7" s="4">
        <v>36.743360024179601</v>
      </c>
    </row>
    <row r="8" spans="1:12">
      <c r="A8" s="5">
        <v>44286</v>
      </c>
      <c r="B8" t="s">
        <v>106</v>
      </c>
      <c r="C8" s="4">
        <v>13.782941969615793</v>
      </c>
      <c r="D8" s="4">
        <v>11.841240963619143</v>
      </c>
      <c r="E8" s="4">
        <v>2.942799376173018</v>
      </c>
      <c r="F8" s="4">
        <v>23.315813704089937</v>
      </c>
      <c r="G8" s="4">
        <v>2.7107993761730178</v>
      </c>
      <c r="H8" s="4">
        <v>84.746487134128415</v>
      </c>
      <c r="I8" s="4">
        <v>10.793197504692072</v>
      </c>
      <c r="J8" s="4">
        <v>1.1964796257038108</v>
      </c>
      <c r="K8" s="4">
        <v>17.593875802726625</v>
      </c>
      <c r="L8" s="4">
        <v>34.409592514076216</v>
      </c>
    </row>
    <row r="9" spans="1:12">
      <c r="A9" s="5">
        <v>44286</v>
      </c>
      <c r="B9" t="s">
        <v>107</v>
      </c>
      <c r="C9" s="4">
        <v>13.897969238711173</v>
      </c>
      <c r="D9" s="4">
        <v>12.014647772654214</v>
      </c>
      <c r="E9" s="4">
        <v>2.8802689313342156</v>
      </c>
      <c r="F9" s="4">
        <v>22.986223873255295</v>
      </c>
      <c r="G9" s="4">
        <v>1.7602689313342155</v>
      </c>
      <c r="H9" s="4">
        <v>82.992360720519784</v>
      </c>
      <c r="I9" s="4">
        <v>10.541075725336862</v>
      </c>
      <c r="J9" s="4">
        <v>1.1561613588005293</v>
      </c>
      <c r="K9" s="4">
        <v>17.490815915503529</v>
      </c>
      <c r="L9" s="4">
        <v>33.923227176010585</v>
      </c>
    </row>
    <row r="10" spans="1:12">
      <c r="A10" s="5">
        <v>44286</v>
      </c>
      <c r="B10" t="s">
        <v>108</v>
      </c>
      <c r="C10" s="4">
        <v>13.894989973208109</v>
      </c>
      <c r="D10" s="4">
        <v>12.127670354741007</v>
      </c>
      <c r="E10" s="4">
        <v>3.0381461254502686</v>
      </c>
      <c r="F10" s="4">
        <v>22.327892280477045</v>
      </c>
      <c r="G10" s="4">
        <v>1.9301461254502685</v>
      </c>
      <c r="H10" s="4">
        <v>80.505600040299328</v>
      </c>
      <c r="I10" s="4">
        <v>11.170584501801073</v>
      </c>
      <c r="J10" s="4">
        <v>1.2480876752701611</v>
      </c>
      <c r="K10" s="4">
        <v>17.168594853651364</v>
      </c>
      <c r="L10" s="4">
        <v>36.081753505403228</v>
      </c>
    </row>
    <row r="11" spans="1:12">
      <c r="A11" s="5">
        <v>44286</v>
      </c>
      <c r="B11" t="s">
        <v>109</v>
      </c>
      <c r="C11" s="4">
        <v>13.367971893747875</v>
      </c>
      <c r="D11" s="4">
        <v>11.973809513979228</v>
      </c>
      <c r="E11" s="4">
        <v>3.2122466496796971</v>
      </c>
      <c r="F11" s="4">
        <v>19.769257645214974</v>
      </c>
      <c r="G11" s="4">
        <v>3.0642466496796974</v>
      </c>
      <c r="H11" s="4">
        <v>77.046083861551892</v>
      </c>
      <c r="I11" s="4">
        <v>11.856986598718787</v>
      </c>
      <c r="J11" s="4">
        <v>1.3385479898078183</v>
      </c>
      <c r="K11" s="4">
        <v>16.04617176347665</v>
      </c>
      <c r="L11" s="4">
        <v>39.490959796156368</v>
      </c>
    </row>
    <row r="12" spans="1:12">
      <c r="A12" s="5">
        <v>44377</v>
      </c>
      <c r="B12" t="s">
        <v>102</v>
      </c>
      <c r="C12" s="4">
        <v>11.654389393592304</v>
      </c>
      <c r="D12" s="4">
        <v>10.445327126658141</v>
      </c>
      <c r="E12" s="4">
        <v>3.0618509898136308</v>
      </c>
      <c r="F12" s="4">
        <v>16.596007992385182</v>
      </c>
      <c r="G12" s="4">
        <v>2.081798674199038</v>
      </c>
      <c r="H12" s="4">
        <v>79.237019796272619</v>
      </c>
      <c r="I12" s="4">
        <v>11.165896132693415</v>
      </c>
      <c r="J12" s="4">
        <v>1.2298003996192592</v>
      </c>
      <c r="K12" s="4">
        <v>14.397338661590123</v>
      </c>
      <c r="L12" s="4">
        <v>38.596007992385182</v>
      </c>
    </row>
    <row r="13" spans="1:12">
      <c r="A13" s="5">
        <v>44377</v>
      </c>
      <c r="B13" t="s">
        <v>103</v>
      </c>
      <c r="C13" s="4">
        <v>13.301618191773938</v>
      </c>
      <c r="D13" s="4">
        <v>11.382937961400215</v>
      </c>
      <c r="E13" s="4">
        <v>3.3812461548388968</v>
      </c>
      <c r="F13" s="4">
        <v>22.325219652793905</v>
      </c>
      <c r="G13" s="4">
        <v>2.2429844753408283</v>
      </c>
      <c r="H13" s="4">
        <v>83.808193800116669</v>
      </c>
      <c r="I13" s="4">
        <v>12.519444979253755</v>
      </c>
      <c r="J13" s="4">
        <v>1.4598058628950839</v>
      </c>
      <c r="K13" s="4">
        <v>16.816813101862603</v>
      </c>
      <c r="L13" s="4">
        <v>39.35611725790168</v>
      </c>
    </row>
    <row r="14" spans="1:12">
      <c r="A14" s="5">
        <v>44377</v>
      </c>
      <c r="B14" t="s">
        <v>104</v>
      </c>
      <c r="C14" s="4">
        <v>14.080353706392074</v>
      </c>
      <c r="D14" s="4">
        <v>11.889335530324871</v>
      </c>
      <c r="E14" s="4">
        <v>3.3865182992219807</v>
      </c>
      <c r="F14" s="4">
        <v>24.686525818741519</v>
      </c>
      <c r="G14" s="4">
        <v>2.1807714704345811</v>
      </c>
      <c r="H14" s="4">
        <v>85.944923096777927</v>
      </c>
      <c r="I14" s="4">
        <v>12.627660352125961</v>
      </c>
      <c r="J14" s="4">
        <v>1.4812744605729384</v>
      </c>
      <c r="K14" s="4">
        <v>17.924350545827679</v>
      </c>
      <c r="L14" s="4">
        <v>38.505489211458766</v>
      </c>
    </row>
    <row r="15" spans="1:12">
      <c r="A15" s="5">
        <v>44377</v>
      </c>
      <c r="B15" t="s">
        <v>105</v>
      </c>
      <c r="C15" s="4">
        <v>14.167047997523408</v>
      </c>
      <c r="D15" s="4">
        <v>12.052304729252526</v>
      </c>
      <c r="E15" s="4">
        <v>3.1409512163674731</v>
      </c>
      <c r="F15" s="4">
        <v>24.396117257901679</v>
      </c>
      <c r="G15" s="4">
        <v>1.9523580092811286</v>
      </c>
      <c r="H15" s="4">
        <v>85.719929734369686</v>
      </c>
      <c r="I15" s="4">
        <v>11.674928614204831</v>
      </c>
      <c r="J15" s="4">
        <v>1.3312438784858629</v>
      </c>
      <c r="K15" s="4">
        <v>17.964078171934453</v>
      </c>
      <c r="L15" s="4">
        <v>36.144877569717259</v>
      </c>
    </row>
    <row r="16" spans="1:12">
      <c r="A16" s="5">
        <v>44377</v>
      </c>
      <c r="B16" t="s">
        <v>106</v>
      </c>
      <c r="C16" s="4">
        <v>14.043875802726625</v>
      </c>
      <c r="D16" s="4">
        <v>12.111361806069231</v>
      </c>
      <c r="E16" s="4">
        <v>2.9082526604428542</v>
      </c>
      <c r="F16" s="4">
        <v>23.397895032387897</v>
      </c>
      <c r="G16" s="4">
        <v>2.6677463746823094</v>
      </c>
      <c r="H16" s="4">
        <v>84.090365984439615</v>
      </c>
      <c r="I16" s="4">
        <v>10.695247392761161</v>
      </c>
      <c r="J16" s="4">
        <v>1.1792636341379619</v>
      </c>
      <c r="K16" s="4">
        <v>17.6485966882586</v>
      </c>
      <c r="L16" s="4">
        <v>34.065272682759236</v>
      </c>
    </row>
    <row r="17" spans="1:12">
      <c r="A17" s="5">
        <v>44377</v>
      </c>
      <c r="B17" t="s">
        <v>107</v>
      </c>
      <c r="C17" s="4">
        <v>13.99984282552575</v>
      </c>
      <c r="D17" s="4">
        <v>12.208172314840056</v>
      </c>
      <c r="E17" s="4">
        <v>2.9052663766433522</v>
      </c>
      <c r="F17" s="4">
        <v>22.869646212453098</v>
      </c>
      <c r="G17" s="4">
        <v>1.7966676521081051</v>
      </c>
      <c r="H17" s="4">
        <v>81.90830496026166</v>
      </c>
      <c r="I17" s="4">
        <v>10.60142177651927</v>
      </c>
      <c r="J17" s="4">
        <v>1.167481801641977</v>
      </c>
      <c r="K17" s="4">
        <v>17.413097474968733</v>
      </c>
      <c r="L17" s="4">
        <v>34.149636032839538</v>
      </c>
    </row>
    <row r="18" spans="1:12">
      <c r="A18" s="5">
        <v>44377</v>
      </c>
      <c r="B18" t="s">
        <v>108</v>
      </c>
      <c r="C18" s="4">
        <v>13.831469307515</v>
      </c>
      <c r="D18" s="4">
        <v>12.236883383867658</v>
      </c>
      <c r="E18" s="4">
        <v>3.0997051958631108</v>
      </c>
      <c r="F18" s="4">
        <v>22.025489211458773</v>
      </c>
      <c r="G18" s="4">
        <v>2.0125317524705433</v>
      </c>
      <c r="H18" s="4">
        <v>79.259024327349451</v>
      </c>
      <c r="I18" s="4">
        <v>11.33374483493977</v>
      </c>
      <c r="J18" s="4">
        <v>1.2775365895773756</v>
      </c>
      <c r="K18" s="4">
        <v>16.96699280763918</v>
      </c>
      <c r="L18" s="4">
        <v>36.67073179154751</v>
      </c>
    </row>
    <row r="19" spans="1:12">
      <c r="A19" s="5">
        <v>44377</v>
      </c>
      <c r="B19" t="s">
        <v>109</v>
      </c>
      <c r="C19" s="4">
        <v>13.143006382882531</v>
      </c>
      <c r="D19" s="4">
        <v>11.994357051217053</v>
      </c>
      <c r="E19" s="4">
        <v>3.2537702197528766</v>
      </c>
      <c r="F19" s="4">
        <v>19.314319544705743</v>
      </c>
      <c r="G19" s="4">
        <v>3.1168742174047015</v>
      </c>
      <c r="H19" s="4">
        <v>75.942193406288283</v>
      </c>
      <c r="I19" s="4">
        <v>11.972952355978482</v>
      </c>
      <c r="J19" s="4">
        <v>1.3590501795773728</v>
      </c>
      <c r="K19" s="4">
        <v>15.742879696470494</v>
      </c>
      <c r="L19" s="4">
        <v>39.901003591547465</v>
      </c>
    </row>
    <row r="20" spans="1:12">
      <c r="A20" s="5">
        <v>44469</v>
      </c>
      <c r="B20" t="s">
        <v>102</v>
      </c>
      <c r="C20" s="4">
        <v>12.236739606139475</v>
      </c>
      <c r="D20" s="4">
        <v>10.862965969487565</v>
      </c>
      <c r="E20" s="4">
        <v>3.119856384651051</v>
      </c>
      <c r="F20" s="4">
        <v>17.168255026925952</v>
      </c>
      <c r="G20" s="4">
        <v>2.1545924507674341</v>
      </c>
      <c r="H20" s="4">
        <v>80.397127693021019</v>
      </c>
      <c r="I20" s="4">
        <v>11.327194696796152</v>
      </c>
      <c r="J20" s="4">
        <v>1.2584127513462975</v>
      </c>
      <c r="K20" s="4">
        <v>14.778836684617302</v>
      </c>
      <c r="L20" s="4">
        <v>39.168255026925948</v>
      </c>
    </row>
    <row r="21" spans="1:12">
      <c r="A21" s="5">
        <v>44469</v>
      </c>
      <c r="B21" t="s">
        <v>103</v>
      </c>
      <c r="C21" s="4">
        <v>13.787155606497883</v>
      </c>
      <c r="D21" s="4">
        <v>11.759591837027843</v>
      </c>
      <c r="E21" s="4">
        <v>3.3933737466510139</v>
      </c>
      <c r="F21" s="4">
        <v>22.8080495207514</v>
      </c>
      <c r="G21" s="4">
        <v>2.2488519894379411</v>
      </c>
      <c r="H21" s="4">
        <v>84.607354924039484</v>
      </c>
      <c r="I21" s="4">
        <v>12.571937901363313</v>
      </c>
      <c r="J21" s="4">
        <v>1.4678174594982689</v>
      </c>
      <c r="K21" s="4">
        <v>17.138699680500935</v>
      </c>
      <c r="L21" s="4">
        <v>39.516349189965382</v>
      </c>
    </row>
    <row r="22" spans="1:12">
      <c r="A22" s="5">
        <v>44469</v>
      </c>
      <c r="B22" t="s">
        <v>104</v>
      </c>
      <c r="C22" s="4">
        <v>14.438889958507509</v>
      </c>
      <c r="D22" s="4">
        <v>12.209988437329471</v>
      </c>
      <c r="E22" s="4">
        <v>3.3416180360259893</v>
      </c>
      <c r="F22" s="4">
        <v>25.026785659430075</v>
      </c>
      <c r="G22" s="4">
        <v>2.1143181566589528</v>
      </c>
      <c r="H22" s="4">
        <v>86.187474933020269</v>
      </c>
      <c r="I22" s="4">
        <v>12.523085881738325</v>
      </c>
      <c r="J22" s="4">
        <v>1.4613194770826725</v>
      </c>
      <c r="K22" s="4">
        <v>18.151190439620049</v>
      </c>
      <c r="L22" s="4">
        <v>38.106389541653449</v>
      </c>
    </row>
    <row r="23" spans="1:12">
      <c r="A23" s="5">
        <v>44469</v>
      </c>
      <c r="B23" t="s">
        <v>105</v>
      </c>
      <c r="C23" s="4">
        <v>14.376291039415914</v>
      </c>
      <c r="D23" s="4">
        <v>12.304173248110583</v>
      </c>
      <c r="E23" s="4">
        <v>3.0803041930775952</v>
      </c>
      <c r="F23" s="4">
        <v>24.556349189965381</v>
      </c>
      <c r="G23" s="4">
        <v>1.8746807378529138</v>
      </c>
      <c r="H23" s="4">
        <v>85.346487134128409</v>
      </c>
      <c r="I23" s="4">
        <v>11.509432037124514</v>
      </c>
      <c r="J23" s="4">
        <v>1.3016688346959753</v>
      </c>
      <c r="K23" s="4">
        <v>18.070899459976921</v>
      </c>
      <c r="L23" s="4">
        <v>35.553376693919503</v>
      </c>
    </row>
    <row r="24" spans="1:12">
      <c r="A24" s="5">
        <v>44469</v>
      </c>
      <c r="B24" t="s">
        <v>106</v>
      </c>
      <c r="C24" s="4">
        <v>14.09081591550353</v>
      </c>
      <c r="D24" s="4">
        <v>12.284404733750948</v>
      </c>
      <c r="E24" s="4">
        <v>2.8876174705837259</v>
      </c>
      <c r="F24" s="4">
        <v>23.360459746149392</v>
      </c>
      <c r="G24" s="4">
        <v>2.650261270725518</v>
      </c>
      <c r="H24" s="4">
        <v>83.192360720519787</v>
      </c>
      <c r="I24" s="4">
        <v>10.620985498729238</v>
      </c>
      <c r="J24" s="4">
        <v>1.1672596889165727</v>
      </c>
      <c r="K24" s="4">
        <v>17.623639830766262</v>
      </c>
      <c r="L24" s="4">
        <v>33.825193778331453</v>
      </c>
    </row>
    <row r="25" spans="1:12">
      <c r="A25" s="5">
        <v>44469</v>
      </c>
      <c r="B25" t="s">
        <v>107</v>
      </c>
      <c r="C25" s="4">
        <v>13.881561500325326</v>
      </c>
      <c r="D25" s="4">
        <v>12.295490975887297</v>
      </c>
      <c r="E25" s="4">
        <v>2.9436149186074023</v>
      </c>
      <c r="F25" s="4">
        <v>22.638664812852685</v>
      </c>
      <c r="G25" s="4">
        <v>1.8554504395639229</v>
      </c>
      <c r="H25" s="4">
        <v>80.705600040299331</v>
      </c>
      <c r="I25" s="4">
        <v>10.68667060843242</v>
      </c>
      <c r="J25" s="4">
        <v>1.1840853268666021</v>
      </c>
      <c r="K25" s="4">
        <v>17.259109875235122</v>
      </c>
      <c r="L25" s="4">
        <v>34.481706537332037</v>
      </c>
    </row>
    <row r="26" spans="1:12">
      <c r="A26" s="5">
        <v>44469</v>
      </c>
      <c r="B26" t="s">
        <v>108</v>
      </c>
      <c r="C26" s="4">
        <v>13.555320704251921</v>
      </c>
      <c r="D26" s="4">
        <v>12.234996658814442</v>
      </c>
      <c r="E26" s="4">
        <v>3.161779997021954</v>
      </c>
      <c r="F26" s="4">
        <v>21.626389541653452</v>
      </c>
      <c r="G26" s="4">
        <v>2.0935378076428051</v>
      </c>
      <c r="H26" s="4">
        <v>78.046083861551892</v>
      </c>
      <c r="I26" s="4">
        <v>11.500127009882172</v>
      </c>
      <c r="J26" s="4">
        <v>1.3074823807275742</v>
      </c>
      <c r="K26" s="4">
        <v>16.700926361102301</v>
      </c>
      <c r="L26" s="4">
        <v>37.269647614551481</v>
      </c>
    </row>
    <row r="27" spans="1:12">
      <c r="A27" s="5">
        <v>44469</v>
      </c>
      <c r="B27" t="s">
        <v>109</v>
      </c>
      <c r="C27" s="4">
        <v>12.726160084203672</v>
      </c>
      <c r="D27" s="4">
        <v>11.903340157837345</v>
      </c>
      <c r="E27" s="4">
        <v>3.2824999941936848</v>
      </c>
      <c r="F27" s="4">
        <v>18.791036933797251</v>
      </c>
      <c r="G27" s="4">
        <v>3.1456269467465932</v>
      </c>
      <c r="H27" s="4">
        <v>75.015987523460353</v>
      </c>
      <c r="I27" s="4">
        <v>12.067496869618806</v>
      </c>
      <c r="J27" s="4">
        <v>1.3748062143717441</v>
      </c>
      <c r="K27" s="4">
        <v>15.3940246225315</v>
      </c>
      <c r="L27" s="4">
        <v>40.21612428743488</v>
      </c>
    </row>
    <row r="28" spans="1:12">
      <c r="A28" s="5">
        <v>44561</v>
      </c>
      <c r="B28" t="s">
        <v>102</v>
      </c>
      <c r="C28" s="4">
        <v>12.682941969615793</v>
      </c>
      <c r="D28" s="4">
        <v>11.226949768042001</v>
      </c>
      <c r="E28" s="4">
        <v>3.1704096900058336</v>
      </c>
      <c r="F28" s="4">
        <v>17.693927420185105</v>
      </c>
      <c r="G28" s="4">
        <v>2.2103677462019742</v>
      </c>
      <c r="H28" s="4">
        <v>81.408193800116663</v>
      </c>
      <c r="I28" s="4">
        <v>11.479425538604204</v>
      </c>
      <c r="J28" s="4">
        <v>1.2846963710092552</v>
      </c>
      <c r="K28" s="4">
        <v>15.129284946790071</v>
      </c>
      <c r="L28" s="4">
        <v>39.693927420185105</v>
      </c>
    </row>
    <row r="29" spans="1:12">
      <c r="A29" s="5">
        <v>44561</v>
      </c>
      <c r="B29" t="s">
        <v>103</v>
      </c>
      <c r="C29" s="4">
        <v>14.097969238711173</v>
      </c>
      <c r="D29" s="4">
        <v>12.064147908620873</v>
      </c>
      <c r="E29" s="4">
        <v>3.3899964867184842</v>
      </c>
      <c r="F29" s="4">
        <v>23.210824791083233</v>
      </c>
      <c r="G29" s="4">
        <v>2.2273243567064203</v>
      </c>
      <c r="H29" s="4">
        <v>85.144923096777944</v>
      </c>
      <c r="I29" s="4">
        <v>12.597494986604055</v>
      </c>
      <c r="J29" s="4">
        <v>1.4699360404562256</v>
      </c>
      <c r="K29" s="4">
        <v>17.407216527388822</v>
      </c>
      <c r="L29" s="4">
        <v>39.558720809124516</v>
      </c>
    </row>
    <row r="30" spans="1:12">
      <c r="A30" s="5">
        <v>44561</v>
      </c>
      <c r="B30" t="s">
        <v>104</v>
      </c>
      <c r="C30" s="4">
        <v>14.594989973208108</v>
      </c>
      <c r="D30" s="4">
        <v>12.442975092468938</v>
      </c>
      <c r="E30" s="4">
        <v>3.2874152480130832</v>
      </c>
      <c r="F30" s="4">
        <v>25.262323845178649</v>
      </c>
      <c r="G30" s="4">
        <v>2.0352800020149666</v>
      </c>
      <c r="H30" s="4">
        <v>86.119929734369691</v>
      </c>
      <c r="I30" s="4">
        <v>12.398472144103957</v>
      </c>
      <c r="J30" s="4">
        <v>1.4373252057732195</v>
      </c>
      <c r="K30" s="4">
        <v>18.308215896785764</v>
      </c>
      <c r="L30" s="4">
        <v>37.626504115464392</v>
      </c>
    </row>
    <row r="31" spans="1:12">
      <c r="A31" s="5">
        <v>44561</v>
      </c>
      <c r="B31" t="s">
        <v>105</v>
      </c>
      <c r="C31" s="4">
        <v>14.367971893747875</v>
      </c>
      <c r="D31" s="4">
        <v>12.456302044087986</v>
      </c>
      <c r="E31" s="4">
        <v>3.0251096703144142</v>
      </c>
      <c r="F31" s="4">
        <v>24.598720809124515</v>
      </c>
      <c r="G31" s="4">
        <v>1.8107993761730179</v>
      </c>
      <c r="H31" s="4">
        <v>84.690365984439609</v>
      </c>
      <c r="I31" s="4">
        <v>11.349216772310379</v>
      </c>
      <c r="J31" s="4">
        <v>1.2736219335057719</v>
      </c>
      <c r="K31" s="4">
        <v>18.099147206083011</v>
      </c>
      <c r="L31" s="4">
        <v>34.99243867011544</v>
      </c>
    </row>
    <row r="32" spans="1:12">
      <c r="A32" s="5">
        <v>44561</v>
      </c>
      <c r="B32" t="s">
        <v>106</v>
      </c>
      <c r="C32" s="4">
        <v>13.918594853651364</v>
      </c>
      <c r="D32" s="4">
        <v>12.349610775540842</v>
      </c>
      <c r="E32" s="4">
        <v>2.8821768027561556</v>
      </c>
      <c r="F32" s="4">
        <v>23.205000272102872</v>
      </c>
      <c r="G32" s="4">
        <v>2.6602689313342154</v>
      </c>
      <c r="H32" s="4">
        <v>82.108304960261663</v>
      </c>
      <c r="I32" s="4">
        <v>10.572469882334904</v>
      </c>
      <c r="J32" s="4">
        <v>1.1609463494549803</v>
      </c>
      <c r="K32" s="4">
        <v>17.520000181401915</v>
      </c>
      <c r="L32" s="4">
        <v>33.698926989099604</v>
      </c>
    </row>
    <row r="33" spans="1:12">
      <c r="A33" s="5">
        <v>44561</v>
      </c>
      <c r="B33" t="s">
        <v>107</v>
      </c>
      <c r="C33" s="4">
        <v>13.556146393775842</v>
      </c>
      <c r="D33" s="4">
        <v>12.271174704373086</v>
      </c>
      <c r="E33" s="4">
        <v>2.9929302306251855</v>
      </c>
      <c r="F33" s="4">
        <v>22.302488173952163</v>
      </c>
      <c r="G33" s="4">
        <v>1.9301461254502685</v>
      </c>
      <c r="H33" s="4">
        <v>79.459024327349454</v>
      </c>
      <c r="I33" s="4">
        <v>10.794459674429609</v>
      </c>
      <c r="J33" s="4">
        <v>1.2053100043191518</v>
      </c>
      <c r="K33" s="4">
        <v>17.034992115968109</v>
      </c>
      <c r="L33" s="4">
        <v>34.906200086383031</v>
      </c>
    </row>
    <row r="34" spans="1:12">
      <c r="A34" s="5">
        <v>44561</v>
      </c>
      <c r="B34" t="s">
        <v>108</v>
      </c>
      <c r="C34" s="4">
        <v>13.096944288207913</v>
      </c>
      <c r="D34" s="4">
        <v>12.122127487006964</v>
      </c>
      <c r="E34" s="4">
        <v>3.2205110184451544</v>
      </c>
      <c r="F34" s="4">
        <v>21.146504115464396</v>
      </c>
      <c r="G34" s="4">
        <v>2.164246649679697</v>
      </c>
      <c r="H34" s="4">
        <v>76.942193406288283</v>
      </c>
      <c r="I34" s="4">
        <v>11.665119988087815</v>
      </c>
      <c r="J34" s="4">
        <v>1.3367312045270068</v>
      </c>
      <c r="K34" s="4">
        <v>16.381002743642927</v>
      </c>
      <c r="L34" s="4">
        <v>37.854624090540135</v>
      </c>
    </row>
    <row r="35" spans="1:12">
      <c r="A35" s="5">
        <v>44561</v>
      </c>
      <c r="B35" t="s">
        <v>109</v>
      </c>
      <c r="C35" s="4">
        <v>12.163321984104664</v>
      </c>
      <c r="D35" s="4">
        <v>11.706417823437295</v>
      </c>
      <c r="E35" s="4">
        <v>3.2966496947777939</v>
      </c>
      <c r="F35" s="4">
        <v>18.220271438872651</v>
      </c>
      <c r="G35" s="4">
        <v>3.1473395616558455</v>
      </c>
      <c r="H35" s="4">
        <v>74.325053208857085</v>
      </c>
      <c r="I35" s="4">
        <v>12.137999976774738</v>
      </c>
      <c r="J35" s="4">
        <v>1.3851879508047229</v>
      </c>
      <c r="K35" s="4">
        <v>15.013514292581766</v>
      </c>
      <c r="L35" s="4">
        <v>40.423759016094465</v>
      </c>
    </row>
    <row r="36" spans="1:12">
      <c r="A36" s="5">
        <v>44651</v>
      </c>
      <c r="B36" t="s">
        <v>102</v>
      </c>
      <c r="C36" s="4">
        <v>12.943875802726625</v>
      </c>
      <c r="D36" s="4">
        <v>11.514647772654214</v>
      </c>
      <c r="E36" s="4">
        <v>3.2103677462019742</v>
      </c>
      <c r="F36" s="4">
        <v>18.152068272698568</v>
      </c>
      <c r="G36" s="4">
        <v>2.2429844753408283</v>
      </c>
      <c r="H36" s="4">
        <v>82.207354924039478</v>
      </c>
      <c r="I36" s="4">
        <v>11.618369803069736</v>
      </c>
      <c r="J36" s="4">
        <v>1.3076034136349284</v>
      </c>
      <c r="K36" s="4">
        <v>15.434712181799046</v>
      </c>
      <c r="L36" s="4">
        <v>40.152068272698571</v>
      </c>
    </row>
    <row r="37" spans="1:12">
      <c r="A37" s="5">
        <v>44651</v>
      </c>
      <c r="B37" t="s">
        <v>103</v>
      </c>
      <c r="C37" s="4">
        <v>14.199842825525749</v>
      </c>
      <c r="D37" s="4">
        <v>12.277670354741007</v>
      </c>
      <c r="E37" s="4">
        <v>3.3713243567064204</v>
      </c>
      <c r="F37" s="4">
        <v>23.517488084792145</v>
      </c>
      <c r="G37" s="4">
        <v>2.1807714704345811</v>
      </c>
      <c r="H37" s="4">
        <v>85.387474933020272</v>
      </c>
      <c r="I37" s="4">
        <v>12.595407957751764</v>
      </c>
      <c r="J37" s="4">
        <v>1.4660771446317291</v>
      </c>
      <c r="K37" s="4">
        <v>17.611658723194765</v>
      </c>
      <c r="L37" s="4">
        <v>39.481542892634586</v>
      </c>
    </row>
    <row r="38" spans="1:12">
      <c r="A38" s="5">
        <v>44651</v>
      </c>
      <c r="B38" t="s">
        <v>104</v>
      </c>
      <c r="C38" s="4">
        <v>14.531469307515</v>
      </c>
      <c r="D38" s="4">
        <v>12.57380951397923</v>
      </c>
      <c r="E38" s="4">
        <v>3.2272800020149668</v>
      </c>
      <c r="F38" s="4">
        <v>25.383750211805168</v>
      </c>
      <c r="G38" s="4">
        <v>1.9523580092811288</v>
      </c>
      <c r="H38" s="4">
        <v>85.746487134128415</v>
      </c>
      <c r="I38" s="4">
        <v>12.257272626635812</v>
      </c>
      <c r="J38" s="4">
        <v>1.4102482225233857</v>
      </c>
      <c r="K38" s="4">
        <v>18.389166807870112</v>
      </c>
      <c r="L38" s="4">
        <v>37.084964450467716</v>
      </c>
    </row>
    <row r="39" spans="1:12">
      <c r="A39" s="5">
        <v>44651</v>
      </c>
      <c r="B39" t="s">
        <v>105</v>
      </c>
      <c r="C39" s="4">
        <v>14.143006382882533</v>
      </c>
      <c r="D39" s="4">
        <v>12.499232485474709</v>
      </c>
      <c r="E39" s="4">
        <v>2.978799376173018</v>
      </c>
      <c r="F39" s="4">
        <v>24.521542892634585</v>
      </c>
      <c r="G39" s="4">
        <v>1.7677463746823094</v>
      </c>
      <c r="H39" s="4">
        <v>83.792360720519781</v>
      </c>
      <c r="I39" s="4">
        <v>11.198722951411655</v>
      </c>
      <c r="J39" s="4">
        <v>1.248221316358592</v>
      </c>
      <c r="K39" s="4">
        <v>18.047695261756392</v>
      </c>
      <c r="L39" s="4">
        <v>34.484426327171846</v>
      </c>
    </row>
    <row r="40" spans="1:12">
      <c r="A40" s="5">
        <v>44651</v>
      </c>
      <c r="B40" t="s">
        <v>106</v>
      </c>
      <c r="C40" s="4">
        <v>13.54617176347665</v>
      </c>
      <c r="D40" s="4">
        <v>12.302925735580752</v>
      </c>
      <c r="E40" s="4">
        <v>2.8922689313342156</v>
      </c>
      <c r="F40" s="4">
        <v>22.937714288897837</v>
      </c>
      <c r="G40" s="4">
        <v>2.696667652108105</v>
      </c>
      <c r="H40" s="4">
        <v>80.905600040299333</v>
      </c>
      <c r="I40" s="4">
        <v>10.551045082902073</v>
      </c>
      <c r="J40" s="4">
        <v>1.160575308674624</v>
      </c>
      <c r="K40" s="4">
        <v>17.341809525931893</v>
      </c>
      <c r="L40" s="4">
        <v>33.691506173492478</v>
      </c>
    </row>
    <row r="41" spans="1:12">
      <c r="A41" s="5">
        <v>44651</v>
      </c>
      <c r="B41" t="s">
        <v>107</v>
      </c>
      <c r="C41" s="4">
        <v>13.059421188236897</v>
      </c>
      <c r="D41" s="4">
        <v>12.136735368286228</v>
      </c>
      <c r="E41" s="4">
        <v>3.0501461254502686</v>
      </c>
      <c r="F41" s="4">
        <v>21.874518597477767</v>
      </c>
      <c r="G41" s="4">
        <v>2.0125317524705433</v>
      </c>
      <c r="H41" s="4">
        <v>78.246083861551895</v>
      </c>
      <c r="I41" s="4">
        <v>10.921801758255691</v>
      </c>
      <c r="J41" s="4">
        <v>1.2303096730879364</v>
      </c>
      <c r="K41" s="4">
        <v>16.749679064985177</v>
      </c>
      <c r="L41" s="4">
        <v>35.406193461758726</v>
      </c>
    </row>
    <row r="42" spans="1:12">
      <c r="A42" s="5">
        <v>44651</v>
      </c>
      <c r="B42" t="s">
        <v>108</v>
      </c>
      <c r="C42" s="4">
        <v>12.506800934735713</v>
      </c>
      <c r="D42" s="4">
        <v>11.905293526875262</v>
      </c>
      <c r="E42" s="4">
        <v>3.2722466496796976</v>
      </c>
      <c r="F42" s="4">
        <v>20.604964450467715</v>
      </c>
      <c r="G42" s="4">
        <v>2.2168742174047016</v>
      </c>
      <c r="H42" s="4">
        <v>76.015987523460353</v>
      </c>
      <c r="I42" s="4">
        <v>11.82415123057122</v>
      </c>
      <c r="J42" s="4">
        <v>1.3641170026707912</v>
      </c>
      <c r="K42" s="4">
        <v>16.019976300311811</v>
      </c>
      <c r="L42" s="4">
        <v>38.402340053415827</v>
      </c>
    </row>
    <row r="43" spans="1:12">
      <c r="A43" s="5">
        <v>44651</v>
      </c>
      <c r="B43" t="s">
        <v>109</v>
      </c>
      <c r="C43" s="4">
        <v>11.516452738105228</v>
      </c>
      <c r="D43" s="4">
        <v>11.415833724992071</v>
      </c>
      <c r="E43" s="4">
        <v>3.2953395616558456</v>
      </c>
      <c r="F43" s="4">
        <v>17.624777679059914</v>
      </c>
      <c r="G43" s="4">
        <v>3.1218235270236736</v>
      </c>
      <c r="H43" s="4">
        <v>73.912349411674512</v>
      </c>
      <c r="I43" s="4">
        <v>12.182507786986372</v>
      </c>
      <c r="J43" s="4">
        <v>1.3897815018061908</v>
      </c>
      <c r="K43" s="4">
        <v>14.616518452706607</v>
      </c>
      <c r="L43" s="4">
        <v>40.515630036123817</v>
      </c>
    </row>
    <row r="44" spans="1:12">
      <c r="A44" s="5">
        <v>44742</v>
      </c>
      <c r="B44" t="s">
        <v>102</v>
      </c>
      <c r="C44" s="4">
        <v>12.99081591550353</v>
      </c>
      <c r="D44" s="4">
        <v>11.708172314840056</v>
      </c>
      <c r="E44" s="4">
        <v>3.2372461548388967</v>
      </c>
      <c r="F44" s="4">
        <v>18.524412954423688</v>
      </c>
      <c r="G44" s="4">
        <v>2.2488519894379411</v>
      </c>
      <c r="H44" s="4">
        <v>82.744923096777939</v>
      </c>
      <c r="I44" s="4">
        <v>11.740176853196036</v>
      </c>
      <c r="J44" s="4">
        <v>1.3262206477211844</v>
      </c>
      <c r="K44" s="4">
        <v>15.682941969615793</v>
      </c>
      <c r="L44" s="4">
        <v>40.524412954423688</v>
      </c>
    </row>
    <row r="45" spans="1:12">
      <c r="A45" s="5">
        <v>44742</v>
      </c>
      <c r="B45" t="s">
        <v>103</v>
      </c>
      <c r="C45" s="4">
        <v>14.081561500325325</v>
      </c>
      <c r="D45" s="4">
        <v>12.386883383867659</v>
      </c>
      <c r="E45" s="4">
        <v>3.3385182992219806</v>
      </c>
      <c r="F45" s="4">
        <v>23.715813704089939</v>
      </c>
      <c r="G45" s="4">
        <v>2.1143181566589528</v>
      </c>
      <c r="H45" s="4">
        <v>85.319929734369694</v>
      </c>
      <c r="I45" s="4">
        <v>12.565734653757499</v>
      </c>
      <c r="J45" s="4">
        <v>1.4563946140238522</v>
      </c>
      <c r="K45" s="4">
        <v>17.743875802726627</v>
      </c>
      <c r="L45" s="4">
        <v>39.287892280477045</v>
      </c>
    </row>
    <row r="46" spans="1:12">
      <c r="A46" s="5">
        <v>44742</v>
      </c>
      <c r="B46" t="s">
        <v>104</v>
      </c>
      <c r="C46" s="4">
        <v>14.25532070425192</v>
      </c>
      <c r="D46" s="4">
        <v>12.594357051217054</v>
      </c>
      <c r="E46" s="4">
        <v>3.1649512163674731</v>
      </c>
      <c r="F46" s="4">
        <v>25.386223873255293</v>
      </c>
      <c r="G46" s="4">
        <v>1.8746807378529138</v>
      </c>
      <c r="H46" s="4">
        <v>85.090365984439615</v>
      </c>
      <c r="I46" s="4">
        <v>12.103400467367857</v>
      </c>
      <c r="J46" s="4">
        <v>1.38116800120898</v>
      </c>
      <c r="K46" s="4">
        <v>18.390815915503527</v>
      </c>
      <c r="L46" s="4">
        <v>36.503360024179599</v>
      </c>
    </row>
    <row r="47" spans="1:12">
      <c r="A47" s="5">
        <v>44742</v>
      </c>
      <c r="B47" t="s">
        <v>105</v>
      </c>
      <c r="C47" s="4">
        <v>13.726160084203672</v>
      </c>
      <c r="D47" s="4">
        <v>12.430295365355539</v>
      </c>
      <c r="E47" s="4">
        <v>2.9442526604428543</v>
      </c>
      <c r="F47" s="4">
        <v>24.327892280477045</v>
      </c>
      <c r="G47" s="4">
        <v>1.7502612707255178</v>
      </c>
      <c r="H47" s="4">
        <v>82.708304960261657</v>
      </c>
      <c r="I47" s="4">
        <v>11.062121290483148</v>
      </c>
      <c r="J47" s="4">
        <v>1.2264796257038106</v>
      </c>
      <c r="K47" s="4">
        <v>17.918594853651364</v>
      </c>
      <c r="L47" s="4">
        <v>34.049592514076217</v>
      </c>
    </row>
    <row r="48" spans="1:12">
      <c r="A48" s="5">
        <v>44742</v>
      </c>
      <c r="B48" t="s">
        <v>106</v>
      </c>
      <c r="C48" s="4">
        <v>13.014545253271622</v>
      </c>
      <c r="D48" s="4">
        <v>12.147252263540077</v>
      </c>
      <c r="E48" s="4">
        <v>2.9172663766433522</v>
      </c>
      <c r="F48" s="4">
        <v>22.569257645214972</v>
      </c>
      <c r="G48" s="4">
        <v>2.7554504395639228</v>
      </c>
      <c r="H48" s="4">
        <v>79.659024327349456</v>
      </c>
      <c r="I48" s="4">
        <v>10.557304857399847</v>
      </c>
      <c r="J48" s="4">
        <v>1.1661613588005293</v>
      </c>
      <c r="K48" s="4">
        <v>17.096171763476651</v>
      </c>
      <c r="L48" s="4">
        <v>33.803227176010587</v>
      </c>
    </row>
    <row r="49" spans="1:12">
      <c r="A49" s="5">
        <v>44742</v>
      </c>
      <c r="B49" t="s">
        <v>107</v>
      </c>
      <c r="C49" s="4">
        <v>12.446068428019096</v>
      </c>
      <c r="D49" s="4">
        <v>11.900531754398258</v>
      </c>
      <c r="E49" s="4">
        <v>3.1117051958631108</v>
      </c>
      <c r="F49" s="4">
        <v>21.371817879907436</v>
      </c>
      <c r="G49" s="4">
        <v>2.0935378076428051</v>
      </c>
      <c r="H49" s="4">
        <v>77.142193406288285</v>
      </c>
      <c r="I49" s="4">
        <v>11.065167760374923</v>
      </c>
      <c r="J49" s="4">
        <v>1.2580876752701611</v>
      </c>
      <c r="K49" s="4">
        <v>16.414545253271623</v>
      </c>
      <c r="L49" s="4">
        <v>35.961753505403223</v>
      </c>
    </row>
    <row r="50" spans="1:12">
      <c r="A50" s="5">
        <v>44742</v>
      </c>
      <c r="B50" t="s">
        <v>108</v>
      </c>
      <c r="C50" s="4">
        <v>11.849857228409661</v>
      </c>
      <c r="D50" s="4">
        <v>11.597976463842105</v>
      </c>
      <c r="E50" s="4">
        <v>3.3137702197528767</v>
      </c>
      <c r="F50" s="4">
        <v>20.023360024179603</v>
      </c>
      <c r="G50" s="4">
        <v>2.2456269467465932</v>
      </c>
      <c r="H50" s="4">
        <v>75.325053208857085</v>
      </c>
      <c r="I50" s="4">
        <v>11.972813419129679</v>
      </c>
      <c r="J50" s="4">
        <v>1.3885479898078184</v>
      </c>
      <c r="K50" s="4">
        <v>15.632240016119734</v>
      </c>
      <c r="L50" s="4">
        <v>38.890959796156366</v>
      </c>
    </row>
    <row r="51" spans="1:12">
      <c r="A51" s="5">
        <v>44742</v>
      </c>
      <c r="B51" t="s">
        <v>109</v>
      </c>
      <c r="C51" s="4">
        <v>10.856763663475146</v>
      </c>
      <c r="D51" s="4">
        <v>11.049654974321788</v>
      </c>
      <c r="E51" s="4">
        <v>3.2786510525598351</v>
      </c>
      <c r="F51" s="4">
        <v>17.028296111373546</v>
      </c>
      <c r="G51" s="4">
        <v>3.0718878037782655</v>
      </c>
      <c r="H51" s="4">
        <v>73.803536055123104</v>
      </c>
      <c r="I51" s="4">
        <v>12.199786831414221</v>
      </c>
      <c r="J51" s="4">
        <v>1.3884037369935072</v>
      </c>
      <c r="K51" s="4">
        <v>14.218864074249028</v>
      </c>
      <c r="L51" s="4">
        <v>40.48807473987015</v>
      </c>
    </row>
    <row r="52" spans="1:12">
      <c r="A52" s="5">
        <v>44834</v>
      </c>
      <c r="B52" t="s">
        <v>102</v>
      </c>
      <c r="C52" s="4">
        <v>12.818594853651364</v>
      </c>
      <c r="D52" s="4">
        <v>11.795490975887297</v>
      </c>
      <c r="E52" s="4">
        <v>3.2493737466510138</v>
      </c>
      <c r="F52" s="4">
        <v>18.796117257901678</v>
      </c>
      <c r="G52" s="4">
        <v>2.2273243567064203</v>
      </c>
      <c r="H52" s="4">
        <v>82.987474933020266</v>
      </c>
      <c r="I52" s="4">
        <v>11.841470984807897</v>
      </c>
      <c r="J52" s="4">
        <v>1.339805862895084</v>
      </c>
      <c r="K52" s="4">
        <v>15.864078171934452</v>
      </c>
      <c r="L52" s="4">
        <v>40.796117257901678</v>
      </c>
    </row>
    <row r="53" spans="1:12">
      <c r="A53" s="5">
        <v>44834</v>
      </c>
      <c r="B53" t="s">
        <v>103</v>
      </c>
      <c r="C53" s="4">
        <v>13.756146393775841</v>
      </c>
      <c r="D53" s="4">
        <v>12.384996658814444</v>
      </c>
      <c r="E53" s="4">
        <v>3.2936180360259892</v>
      </c>
      <c r="F53" s="4">
        <v>23.797895032387899</v>
      </c>
      <c r="G53" s="4">
        <v>2.0352800020149666</v>
      </c>
      <c r="H53" s="4">
        <v>84.946487134128418</v>
      </c>
      <c r="I53" s="4">
        <v>12.509297426825681</v>
      </c>
      <c r="J53" s="4">
        <v>1.4412744605729384</v>
      </c>
      <c r="K53" s="4">
        <v>17.798596688258598</v>
      </c>
      <c r="L53" s="4">
        <v>38.98548921145877</v>
      </c>
    </row>
    <row r="54" spans="1:12">
      <c r="A54" s="5">
        <v>44834</v>
      </c>
      <c r="B54" t="s">
        <v>104</v>
      </c>
      <c r="C54" s="4">
        <v>13.796944288207913</v>
      </c>
      <c r="D54" s="4">
        <v>12.503340157837346</v>
      </c>
      <c r="E54" s="4">
        <v>3.1043041930775952</v>
      </c>
      <c r="F54" s="4">
        <v>25.269646212453097</v>
      </c>
      <c r="G54" s="4">
        <v>1.8107993761730179</v>
      </c>
      <c r="H54" s="4">
        <v>84.192360720519787</v>
      </c>
      <c r="I54" s="4">
        <v>11.941120008059867</v>
      </c>
      <c r="J54" s="4">
        <v>1.3512438784858629</v>
      </c>
      <c r="K54" s="4">
        <v>18.313097474968732</v>
      </c>
      <c r="L54" s="4">
        <v>35.904877569717257</v>
      </c>
    </row>
    <row r="55" spans="1:12">
      <c r="A55" s="5">
        <v>44834</v>
      </c>
      <c r="B55" t="s">
        <v>105</v>
      </c>
      <c r="C55" s="4">
        <v>13.163321984104664</v>
      </c>
      <c r="D55" s="4">
        <v>12.253776859967973</v>
      </c>
      <c r="E55" s="4">
        <v>2.9236174705837259</v>
      </c>
      <c r="F55" s="4">
        <v>24.025489211458773</v>
      </c>
      <c r="G55" s="4">
        <v>1.7602689313342155</v>
      </c>
      <c r="H55" s="4">
        <v>81.505600040299328</v>
      </c>
      <c r="I55" s="4">
        <v>10.943197504692071</v>
      </c>
      <c r="J55" s="4">
        <v>1.2092636341379617</v>
      </c>
      <c r="K55" s="4">
        <v>17.71699280763918</v>
      </c>
      <c r="L55" s="4">
        <v>33.705272682759237</v>
      </c>
    </row>
    <row r="56" spans="1:12">
      <c r="A56" s="5">
        <v>44834</v>
      </c>
      <c r="B56" t="s">
        <v>106</v>
      </c>
      <c r="C56" s="4">
        <v>12.382240016119734</v>
      </c>
      <c r="D56" s="4">
        <v>11.892269381918098</v>
      </c>
      <c r="E56" s="4">
        <v>2.9556149186074023</v>
      </c>
      <c r="F56" s="4">
        <v>22.11431954470574</v>
      </c>
      <c r="G56" s="4">
        <v>2.8301461254502684</v>
      </c>
      <c r="H56" s="4">
        <v>78.446083861551898</v>
      </c>
      <c r="I56" s="4">
        <v>10.591075725336863</v>
      </c>
      <c r="J56" s="4">
        <v>1.177481801641977</v>
      </c>
      <c r="K56" s="4">
        <v>16.792879696470496</v>
      </c>
      <c r="L56" s="4">
        <v>34.029636032839541</v>
      </c>
    </row>
    <row r="57" spans="1:12">
      <c r="A57" s="5">
        <v>44834</v>
      </c>
      <c r="B57" t="s">
        <v>107</v>
      </c>
      <c r="C57" s="4">
        <v>11.783609730939784</v>
      </c>
      <c r="D57" s="4">
        <v>11.577249859387122</v>
      </c>
      <c r="E57" s="4">
        <v>3.173779997021954</v>
      </c>
      <c r="F57" s="4">
        <v>20.814427112486847</v>
      </c>
      <c r="G57" s="4">
        <v>2.164246649679697</v>
      </c>
      <c r="H57" s="4">
        <v>76.215987523460356</v>
      </c>
      <c r="I57" s="4">
        <v>11.220584501801074</v>
      </c>
      <c r="J57" s="4">
        <v>1.2875365895773756</v>
      </c>
      <c r="K57" s="4">
        <v>16.042951408324566</v>
      </c>
      <c r="L57" s="4">
        <v>36.550731791547506</v>
      </c>
    </row>
    <row r="58" spans="1:12">
      <c r="A58" s="5">
        <v>44834</v>
      </c>
      <c r="B58" t="s">
        <v>108</v>
      </c>
      <c r="C58" s="4">
        <v>11.198433544620761</v>
      </c>
      <c r="D58" s="4">
        <v>11.219283784420893</v>
      </c>
      <c r="E58" s="4">
        <v>3.3424999941936848</v>
      </c>
      <c r="F58" s="4">
        <v>19.42487756971726</v>
      </c>
      <c r="G58" s="4">
        <v>2.2473395616558456</v>
      </c>
      <c r="H58" s="4">
        <v>74.912349411674512</v>
      </c>
      <c r="I58" s="4">
        <v>12.106986598718787</v>
      </c>
      <c r="J58" s="4">
        <v>1.4090501795773731</v>
      </c>
      <c r="K58" s="4">
        <v>15.23325171314484</v>
      </c>
      <c r="L58" s="4">
        <v>39.301003591547463</v>
      </c>
    </row>
    <row r="59" spans="1:12">
      <c r="A59" s="5">
        <v>44834</v>
      </c>
      <c r="B59" t="s">
        <v>109</v>
      </c>
      <c r="C59" s="4">
        <v>10.256877362515313</v>
      </c>
      <c r="D59" s="4">
        <v>10.630648792585168</v>
      </c>
      <c r="E59" s="4">
        <v>3.2476217781558727</v>
      </c>
      <c r="F59" s="4">
        <v>16.454606573610768</v>
      </c>
      <c r="G59" s="4">
        <v>3.0030296213104393</v>
      </c>
      <c r="H59" s="4">
        <v>74.005378626684305</v>
      </c>
      <c r="I59" s="4">
        <v>12.189358246623382</v>
      </c>
      <c r="J59" s="4">
        <v>1.381109583501966</v>
      </c>
      <c r="K59" s="4">
        <v>13.836404382407178</v>
      </c>
      <c r="L59" s="4">
        <v>40.34219167003932</v>
      </c>
    </row>
    <row r="60" spans="1:12">
      <c r="A60" s="5">
        <v>44926</v>
      </c>
      <c r="B60" t="s">
        <v>102</v>
      </c>
      <c r="C60" s="4">
        <v>12.446171763476649</v>
      </c>
      <c r="D60" s="4">
        <v>11.771174704373086</v>
      </c>
      <c r="E60" s="4">
        <v>3.2459964867184841</v>
      </c>
      <c r="F60" s="4">
        <v>18.95634918996538</v>
      </c>
      <c r="G60" s="4">
        <v>2.1807714704345811</v>
      </c>
      <c r="H60" s="4">
        <v>82.919929734369688</v>
      </c>
      <c r="I60" s="4">
        <v>11.919444979253756</v>
      </c>
      <c r="J60" s="4">
        <v>1.347817459498269</v>
      </c>
      <c r="K60" s="4">
        <v>15.97089945997692</v>
      </c>
      <c r="L60" s="4">
        <v>40.95634918996538</v>
      </c>
    </row>
    <row r="61" spans="1:12">
      <c r="A61" s="5">
        <v>44926</v>
      </c>
      <c r="B61" t="s">
        <v>103</v>
      </c>
      <c r="C61" s="4">
        <v>13.259421188236896</v>
      </c>
      <c r="D61" s="4">
        <v>12.272127487006964</v>
      </c>
      <c r="E61" s="4">
        <v>3.2394152480130831</v>
      </c>
      <c r="F61" s="4">
        <v>23.760459746149394</v>
      </c>
      <c r="G61" s="4">
        <v>1.9523580092811286</v>
      </c>
      <c r="H61" s="4">
        <v>84.290365984439617</v>
      </c>
      <c r="I61" s="4">
        <v>12.42766035212596</v>
      </c>
      <c r="J61" s="4">
        <v>1.4213194770826725</v>
      </c>
      <c r="K61" s="4">
        <v>17.773639830766264</v>
      </c>
      <c r="L61" s="4">
        <v>38.586389541653453</v>
      </c>
    </row>
    <row r="62" spans="1:12">
      <c r="A62" s="5">
        <v>44926</v>
      </c>
      <c r="B62" t="s">
        <v>104</v>
      </c>
      <c r="C62" s="4">
        <v>13.206800934735712</v>
      </c>
      <c r="D62" s="4">
        <v>12.306417823437297</v>
      </c>
      <c r="E62" s="4">
        <v>3.0491096703144143</v>
      </c>
      <c r="F62" s="4">
        <v>25.038664812852684</v>
      </c>
      <c r="G62" s="4">
        <v>1.7677463746823094</v>
      </c>
      <c r="H62" s="4">
        <v>83.108304960261663</v>
      </c>
      <c r="I62" s="4">
        <v>11.774928614204832</v>
      </c>
      <c r="J62" s="4">
        <v>1.3216688346959753</v>
      </c>
      <c r="K62" s="4">
        <v>18.159109875235124</v>
      </c>
      <c r="L62" s="4">
        <v>35.313376693919501</v>
      </c>
    </row>
    <row r="63" spans="1:12">
      <c r="A63" s="5">
        <v>44926</v>
      </c>
      <c r="B63" t="s">
        <v>105</v>
      </c>
      <c r="C63" s="4">
        <v>12.516452738105228</v>
      </c>
      <c r="D63" s="4">
        <v>11.980652035023519</v>
      </c>
      <c r="E63" s="4">
        <v>2.9181768027561557</v>
      </c>
      <c r="F63" s="4">
        <v>23.626389541653452</v>
      </c>
      <c r="G63" s="4">
        <v>1.7966676521081051</v>
      </c>
      <c r="H63" s="4">
        <v>80.259024327349451</v>
      </c>
      <c r="I63" s="4">
        <v>10.845247392761159</v>
      </c>
      <c r="J63" s="4">
        <v>1.1972596889165725</v>
      </c>
      <c r="K63" s="4">
        <v>17.450926361102304</v>
      </c>
      <c r="L63" s="4">
        <v>33.465193778331454</v>
      </c>
    </row>
    <row r="64" spans="1:12">
      <c r="A64" s="5">
        <v>44926</v>
      </c>
      <c r="B64" t="s">
        <v>106</v>
      </c>
      <c r="C64" s="4">
        <v>11.718864074249028</v>
      </c>
      <c r="D64" s="4">
        <v>11.553830691304551</v>
      </c>
      <c r="E64" s="4">
        <v>3.0049302306251855</v>
      </c>
      <c r="F64" s="4">
        <v>21.591036933797248</v>
      </c>
      <c r="G64" s="4">
        <v>2.9125317524705432</v>
      </c>
      <c r="H64" s="4">
        <v>77.342193406288288</v>
      </c>
      <c r="I64" s="4">
        <v>10.651421776519271</v>
      </c>
      <c r="J64" s="4">
        <v>1.1940853268666021</v>
      </c>
      <c r="K64" s="4">
        <v>16.444024622531501</v>
      </c>
      <c r="L64" s="4">
        <v>34.36170653733204</v>
      </c>
    </row>
    <row r="65" spans="1:12">
      <c r="A65" s="5">
        <v>44926</v>
      </c>
      <c r="B65" t="s">
        <v>107</v>
      </c>
      <c r="C65" s="4">
        <v>11.144972596254171</v>
      </c>
      <c r="D65" s="4">
        <v>11.186989785694196</v>
      </c>
      <c r="E65" s="4">
        <v>3.2325110184451544</v>
      </c>
      <c r="F65" s="4">
        <v>20.224567706164784</v>
      </c>
      <c r="G65" s="4">
        <v>2.2168742174047016</v>
      </c>
      <c r="H65" s="4">
        <v>75.525053208857088</v>
      </c>
      <c r="I65" s="4">
        <v>11.383744834939771</v>
      </c>
      <c r="J65" s="4">
        <v>1.3174823807275742</v>
      </c>
      <c r="K65" s="4">
        <v>15.649711804109856</v>
      </c>
      <c r="L65" s="4">
        <v>37.149647614551476</v>
      </c>
    </row>
    <row r="66" spans="1:12">
      <c r="A66" s="5">
        <v>44926</v>
      </c>
      <c r="B66" t="s">
        <v>108</v>
      </c>
      <c r="C66" s="4">
        <v>10.624242580966296</v>
      </c>
      <c r="D66" s="4">
        <v>10.792760765249849</v>
      </c>
      <c r="E66" s="4">
        <v>3.356649694777794</v>
      </c>
      <c r="F66" s="4">
        <v>18.833376693919508</v>
      </c>
      <c r="G66" s="4">
        <v>2.2218235270236737</v>
      </c>
      <c r="H66" s="4">
        <v>74.803536055123104</v>
      </c>
      <c r="I66" s="4">
        <v>12.222952355978482</v>
      </c>
      <c r="J66" s="4">
        <v>1.4248062143717442</v>
      </c>
      <c r="K66" s="4">
        <v>14.838917795946337</v>
      </c>
      <c r="L66" s="4">
        <v>39.616124287434886</v>
      </c>
    </row>
    <row r="67" spans="1:12">
      <c r="A67" s="5">
        <v>44926</v>
      </c>
      <c r="B67" t="s">
        <v>109</v>
      </c>
      <c r="C67" s="4">
        <v>9.7828329829632938</v>
      </c>
      <c r="D67" s="4">
        <v>10.184866954739132</v>
      </c>
      <c r="E67" s="4">
        <v>3.2041809884385479</v>
      </c>
      <c r="F67" s="4">
        <v>15.926580257260156</v>
      </c>
      <c r="G67" s="4">
        <v>2.9228293088886872</v>
      </c>
      <c r="H67" s="4">
        <v>74.505327532867042</v>
      </c>
      <c r="I67" s="4">
        <v>12.151511045583</v>
      </c>
      <c r="J67" s="4">
        <v>1.3681898362132421</v>
      </c>
      <c r="K67" s="4">
        <v>13.484386838173435</v>
      </c>
      <c r="L67" s="4">
        <v>40.083796724264843</v>
      </c>
    </row>
    <row r="68" spans="1:12">
      <c r="A68" s="5">
        <v>45016</v>
      </c>
      <c r="B68" t="s">
        <v>102</v>
      </c>
      <c r="C68" s="4">
        <v>11.914545253271625</v>
      </c>
      <c r="D68" s="4">
        <v>11.636735368286228</v>
      </c>
      <c r="E68" s="4">
        <v>3.2273243567064203</v>
      </c>
      <c r="F68" s="4">
        <v>18.998720809124514</v>
      </c>
      <c r="G68" s="4">
        <v>2.1143181566589528</v>
      </c>
      <c r="H68" s="4">
        <v>82.546487134128412</v>
      </c>
      <c r="I68" s="4">
        <v>11.971937901363313</v>
      </c>
      <c r="J68" s="4">
        <v>1.3499360404562257</v>
      </c>
      <c r="K68" s="4">
        <v>15.999147206083011</v>
      </c>
      <c r="L68" s="4">
        <v>40.998720809124514</v>
      </c>
    </row>
    <row r="69" spans="1:12">
      <c r="A69" s="5">
        <v>45016</v>
      </c>
      <c r="B69" t="s">
        <v>103</v>
      </c>
      <c r="C69" s="4">
        <v>12.646068428019095</v>
      </c>
      <c r="D69" s="4">
        <v>12.055293526875262</v>
      </c>
      <c r="E69" s="4">
        <v>3.1792800020149667</v>
      </c>
      <c r="F69" s="4">
        <v>23.605000272102874</v>
      </c>
      <c r="G69" s="4">
        <v>1.8746807378529138</v>
      </c>
      <c r="H69" s="4">
        <v>83.39236072051979</v>
      </c>
      <c r="I69" s="4">
        <v>12.323085881738324</v>
      </c>
      <c r="J69" s="4">
        <v>1.3973252057732195</v>
      </c>
      <c r="K69" s="4">
        <v>17.670000181401917</v>
      </c>
      <c r="L69" s="4">
        <v>38.106504115464396</v>
      </c>
    </row>
    <row r="70" spans="1:12">
      <c r="A70" s="5">
        <v>45016</v>
      </c>
      <c r="B70" t="s">
        <v>104</v>
      </c>
      <c r="C70" s="4">
        <v>12.549857228409662</v>
      </c>
      <c r="D70" s="4">
        <v>12.015833724992072</v>
      </c>
      <c r="E70" s="4">
        <v>3.0027993761730181</v>
      </c>
      <c r="F70" s="4">
        <v>24.702488173952162</v>
      </c>
      <c r="G70" s="4">
        <v>1.7502612707255178</v>
      </c>
      <c r="H70" s="4">
        <v>81.905600040299333</v>
      </c>
      <c r="I70" s="4">
        <v>11.609432037124515</v>
      </c>
      <c r="J70" s="4">
        <v>1.2936219335057719</v>
      </c>
      <c r="K70" s="4">
        <v>17.934992115968107</v>
      </c>
      <c r="L70" s="4">
        <v>34.752438670115438</v>
      </c>
    </row>
    <row r="71" spans="1:12">
      <c r="A71" s="5">
        <v>45016</v>
      </c>
      <c r="B71" t="s">
        <v>105</v>
      </c>
      <c r="C71" s="4">
        <v>11.856763663475148</v>
      </c>
      <c r="D71" s="4">
        <v>11.627902469278634</v>
      </c>
      <c r="E71" s="4">
        <v>2.9282689313342156</v>
      </c>
      <c r="F71" s="4">
        <v>23.146504115464396</v>
      </c>
      <c r="G71" s="4">
        <v>1.8554504395639226</v>
      </c>
      <c r="H71" s="4">
        <v>79.046083861551892</v>
      </c>
      <c r="I71" s="4">
        <v>10.770985498729237</v>
      </c>
      <c r="J71" s="4">
        <v>1.1909463494549801</v>
      </c>
      <c r="K71" s="4">
        <v>17.131002743642931</v>
      </c>
      <c r="L71" s="4">
        <v>33.338926989099605</v>
      </c>
    </row>
    <row r="72" spans="1:12">
      <c r="A72" s="5">
        <v>45016</v>
      </c>
      <c r="B72" t="s">
        <v>106</v>
      </c>
      <c r="C72" s="4">
        <v>11.09744590282331</v>
      </c>
      <c r="D72" s="4">
        <v>11.15297867028063</v>
      </c>
      <c r="E72" s="4">
        <v>3.0621461254502687</v>
      </c>
      <c r="F72" s="4">
        <v>21.020271438872648</v>
      </c>
      <c r="G72" s="4">
        <v>2.9935378076428045</v>
      </c>
      <c r="H72" s="4">
        <v>76.415987523460359</v>
      </c>
      <c r="I72" s="4">
        <v>10.736670608432421</v>
      </c>
      <c r="J72" s="4">
        <v>1.2153100043191518</v>
      </c>
      <c r="K72" s="4">
        <v>16.063514292581768</v>
      </c>
      <c r="L72" s="4">
        <v>34.786200086383033</v>
      </c>
    </row>
    <row r="73" spans="1:12">
      <c r="A73" s="5">
        <v>45016</v>
      </c>
      <c r="B73" t="s">
        <v>107</v>
      </c>
      <c r="C73" s="4">
        <v>10.600462100142062</v>
      </c>
      <c r="D73" s="4">
        <v>10.75401601450776</v>
      </c>
      <c r="E73" s="4">
        <v>3.2842466496796971</v>
      </c>
      <c r="F73" s="4">
        <v>19.625755494062304</v>
      </c>
      <c r="G73" s="4">
        <v>2.2456269467465932</v>
      </c>
      <c r="H73" s="4">
        <v>75.112349411674515</v>
      </c>
      <c r="I73" s="4">
        <v>11.550127009882173</v>
      </c>
      <c r="J73" s="4">
        <v>1.3467312045270068</v>
      </c>
      <c r="K73" s="4">
        <v>15.250503662708203</v>
      </c>
      <c r="L73" s="4">
        <v>37.73462409054013</v>
      </c>
    </row>
    <row r="74" spans="1:12">
      <c r="A74" s="5">
        <v>45016</v>
      </c>
      <c r="B74" t="s">
        <v>108</v>
      </c>
      <c r="C74" s="4">
        <v>10.190494785522322</v>
      </c>
      <c r="D74" s="4">
        <v>10.344926541830356</v>
      </c>
      <c r="E74" s="4">
        <v>3.3553395616558457</v>
      </c>
      <c r="F74" s="4">
        <v>18.272438670115445</v>
      </c>
      <c r="G74" s="4">
        <v>2.1718878037782656</v>
      </c>
      <c r="H74" s="4">
        <v>75.005378626684305</v>
      </c>
      <c r="I74" s="4">
        <v>12.317496869618806</v>
      </c>
      <c r="J74" s="4">
        <v>1.4351879508047229</v>
      </c>
      <c r="K74" s="4">
        <v>14.464959113410295</v>
      </c>
      <c r="L74" s="4">
        <v>39.823759016094463</v>
      </c>
    </row>
    <row r="75" spans="1:12">
      <c r="A75" s="5">
        <v>45016</v>
      </c>
      <c r="B75" t="s">
        <v>109</v>
      </c>
      <c r="C75" s="4">
        <v>9.4868162252848514</v>
      </c>
      <c r="D75" s="4">
        <v>9.7400260163517025</v>
      </c>
      <c r="E75" s="4">
        <v>3.1510296213104394</v>
      </c>
      <c r="F75" s="4">
        <v>15.465267905271212</v>
      </c>
      <c r="G75" s="4">
        <v>2.8401158067174208</v>
      </c>
      <c r="H75" s="4">
        <v>75.272298372148043</v>
      </c>
      <c r="I75" s="4">
        <v>12.087294108094694</v>
      </c>
      <c r="J75" s="4">
        <v>1.3501595646811171</v>
      </c>
      <c r="K75" s="4">
        <v>13.176845270180806</v>
      </c>
      <c r="L75" s="4">
        <v>39.723191293622342</v>
      </c>
    </row>
    <row r="76" spans="1:12">
      <c r="A76" s="5">
        <v>45107</v>
      </c>
      <c r="B76" t="s">
        <v>102</v>
      </c>
      <c r="C76" s="4">
        <v>11.282240016119735</v>
      </c>
      <c r="D76" s="4">
        <v>11.400531754398258</v>
      </c>
      <c r="E76" s="4">
        <v>3.1945182992219805</v>
      </c>
      <c r="F76" s="4">
        <v>18.921542892634584</v>
      </c>
      <c r="G76" s="4">
        <v>2.0352800020149666</v>
      </c>
      <c r="H76" s="4">
        <v>81.890365984439612</v>
      </c>
      <c r="I76" s="4">
        <v>11.997494986604055</v>
      </c>
      <c r="J76" s="4">
        <v>1.3460771446317292</v>
      </c>
      <c r="K76" s="4">
        <v>15.94769526175639</v>
      </c>
      <c r="L76" s="4">
        <v>40.921542892634584</v>
      </c>
    </row>
    <row r="77" spans="1:12">
      <c r="A77" s="5">
        <v>45107</v>
      </c>
      <c r="B77" t="s">
        <v>103</v>
      </c>
      <c r="C77" s="4">
        <v>11.983609730939783</v>
      </c>
      <c r="D77" s="4">
        <v>11.747976463842106</v>
      </c>
      <c r="E77" s="4">
        <v>3.1169512163674731</v>
      </c>
      <c r="F77" s="4">
        <v>23.337714288897839</v>
      </c>
      <c r="G77" s="4">
        <v>1.8107993761730179</v>
      </c>
      <c r="H77" s="4">
        <v>82.308304960261665</v>
      </c>
      <c r="I77" s="4">
        <v>12.198472144103956</v>
      </c>
      <c r="J77" s="4">
        <v>1.3702482225233856</v>
      </c>
      <c r="K77" s="4">
        <v>17.491809525931892</v>
      </c>
      <c r="L77" s="4">
        <v>37.56496445046772</v>
      </c>
    </row>
    <row r="78" spans="1:12">
      <c r="A78" s="5">
        <v>45107</v>
      </c>
      <c r="B78" t="s">
        <v>104</v>
      </c>
      <c r="C78" s="4">
        <v>11.89843354462076</v>
      </c>
      <c r="D78" s="4">
        <v>11.649654974321789</v>
      </c>
      <c r="E78" s="4">
        <v>2.9682526604428543</v>
      </c>
      <c r="F78" s="4">
        <v>24.274518597477766</v>
      </c>
      <c r="G78" s="4">
        <v>1.7602689313342155</v>
      </c>
      <c r="H78" s="4">
        <v>80.659024327349456</v>
      </c>
      <c r="I78" s="4">
        <v>11.449216772310381</v>
      </c>
      <c r="J78" s="4">
        <v>1.268221316358592</v>
      </c>
      <c r="K78" s="4">
        <v>17.649679064985175</v>
      </c>
      <c r="L78" s="4">
        <v>34.244426327171844</v>
      </c>
    </row>
    <row r="79" spans="1:12">
      <c r="A79" s="5">
        <v>45107</v>
      </c>
      <c r="B79" t="s">
        <v>105</v>
      </c>
      <c r="C79" s="4">
        <v>11.256877362515313</v>
      </c>
      <c r="D79" s="4">
        <v>11.217460422216579</v>
      </c>
      <c r="E79" s="4">
        <v>2.9532663766433522</v>
      </c>
      <c r="F79" s="4">
        <v>22.604964450467715</v>
      </c>
      <c r="G79" s="4">
        <v>1.9301461254502685</v>
      </c>
      <c r="H79" s="4">
        <v>77.942193406288283</v>
      </c>
      <c r="I79" s="4">
        <v>10.722469882334902</v>
      </c>
      <c r="J79" s="4">
        <v>1.1905753086746238</v>
      </c>
      <c r="K79" s="4">
        <v>16.769976300311811</v>
      </c>
      <c r="L79" s="4">
        <v>33.331506173492478</v>
      </c>
    </row>
    <row r="80" spans="1:12">
      <c r="A80" s="5">
        <v>45107</v>
      </c>
      <c r="B80" t="s">
        <v>106</v>
      </c>
      <c r="C80" s="4">
        <v>10.586395009384143</v>
      </c>
      <c r="D80" s="4">
        <v>10.714636356018387</v>
      </c>
      <c r="E80" s="4">
        <v>3.1237051958631108</v>
      </c>
      <c r="F80" s="4">
        <v>20.424777679059911</v>
      </c>
      <c r="G80" s="4">
        <v>3.0642466496796974</v>
      </c>
      <c r="H80" s="4">
        <v>75.725053208857091</v>
      </c>
      <c r="I80" s="4">
        <v>10.84445967442961</v>
      </c>
      <c r="J80" s="4">
        <v>1.2403096730879364</v>
      </c>
      <c r="K80" s="4">
        <v>15.666518452706608</v>
      </c>
      <c r="L80" s="4">
        <v>35.286193461758728</v>
      </c>
    </row>
    <row r="81" spans="1:12">
      <c r="A81" s="5">
        <v>45107</v>
      </c>
      <c r="B81" t="s">
        <v>107</v>
      </c>
      <c r="C81" s="4">
        <v>10.210021283542833</v>
      </c>
      <c r="D81" s="4">
        <v>10.305248757845805</v>
      </c>
      <c r="E81" s="4">
        <v>3.3257702197528767</v>
      </c>
      <c r="F81" s="4">
        <v>19.04186322941473</v>
      </c>
      <c r="G81" s="4">
        <v>2.2473395616558456</v>
      </c>
      <c r="H81" s="4">
        <v>75.003536055123107</v>
      </c>
      <c r="I81" s="4">
        <v>11.715119988087816</v>
      </c>
      <c r="J81" s="4">
        <v>1.3741170026707912</v>
      </c>
      <c r="K81" s="4">
        <v>14.861242152943152</v>
      </c>
      <c r="L81" s="4">
        <v>38.282340053415822</v>
      </c>
    </row>
    <row r="82" spans="1:12">
      <c r="A82" s="5">
        <v>45107</v>
      </c>
      <c r="B82" t="s">
        <v>108</v>
      </c>
      <c r="C82" s="4">
        <v>9.9449397646698063</v>
      </c>
      <c r="D82" s="4">
        <v>9.9036252771248261</v>
      </c>
      <c r="E82" s="4">
        <v>3.3386510525598352</v>
      </c>
      <c r="F82" s="4">
        <v>17.764426327171844</v>
      </c>
      <c r="G82" s="4">
        <v>2.1030296213104394</v>
      </c>
      <c r="H82" s="4">
        <v>75.505327532867042</v>
      </c>
      <c r="I82" s="4">
        <v>12.387999976774738</v>
      </c>
      <c r="J82" s="4">
        <v>1.4397815018061908</v>
      </c>
      <c r="K82" s="4">
        <v>14.126284218114561</v>
      </c>
      <c r="L82" s="4">
        <v>39.915630036123815</v>
      </c>
    </row>
    <row r="83" spans="1:12">
      <c r="A83" s="5">
        <v>45107</v>
      </c>
      <c r="B83" t="s">
        <v>109</v>
      </c>
      <c r="C83" s="4">
        <v>9.4014144220492444</v>
      </c>
      <c r="D83" s="4">
        <v>9.3237840324197396</v>
      </c>
      <c r="E83" s="4">
        <v>3.0914723713451084</v>
      </c>
      <c r="F83" s="4">
        <v>15.089060585362427</v>
      </c>
      <c r="G83" s="4">
        <v>2.7639947222776575</v>
      </c>
      <c r="H83" s="4">
        <v>76.258604612503703</v>
      </c>
      <c r="I83" s="4">
        <v>11.99848711262349</v>
      </c>
      <c r="J83" s="4">
        <v>1.3277375789337642</v>
      </c>
      <c r="K83" s="4">
        <v>12.926040390241617</v>
      </c>
      <c r="L83" s="4">
        <v>39.274751578675286</v>
      </c>
    </row>
    <row r="84" spans="1:12">
      <c r="A84" s="5">
        <v>45199</v>
      </c>
      <c r="B84" t="s">
        <v>102</v>
      </c>
      <c r="C84" s="4">
        <v>10.618864074249029</v>
      </c>
      <c r="D84" s="4">
        <v>11.077249859387122</v>
      </c>
      <c r="E84" s="4">
        <v>3.1496180360259891</v>
      </c>
      <c r="F84" s="4">
        <v>18.727892280477043</v>
      </c>
      <c r="G84" s="4">
        <v>1.9523580092811286</v>
      </c>
      <c r="H84" s="4">
        <v>80.992360720519784</v>
      </c>
      <c r="I84" s="4">
        <v>11.995407957751764</v>
      </c>
      <c r="J84" s="4">
        <v>1.3363946140238523</v>
      </c>
      <c r="K84" s="4">
        <v>15.818594853651364</v>
      </c>
      <c r="L84" s="4">
        <v>40.727892280477043</v>
      </c>
    </row>
    <row r="85" spans="1:12">
      <c r="A85" s="5">
        <v>45199</v>
      </c>
      <c r="B85" t="s">
        <v>103</v>
      </c>
      <c r="C85" s="4">
        <v>11.34497259625417</v>
      </c>
      <c r="D85" s="4">
        <v>11.369283784420894</v>
      </c>
      <c r="E85" s="4">
        <v>3.0563041930775952</v>
      </c>
      <c r="F85" s="4">
        <v>22.969257645214974</v>
      </c>
      <c r="G85" s="4">
        <v>1.7677463746823094</v>
      </c>
      <c r="H85" s="4">
        <v>81.105600040299336</v>
      </c>
      <c r="I85" s="4">
        <v>12.057272626635811</v>
      </c>
      <c r="J85" s="4">
        <v>1.3411680012089799</v>
      </c>
      <c r="K85" s="4">
        <v>17.246171763476649</v>
      </c>
      <c r="L85" s="4">
        <v>36.983360024179603</v>
      </c>
    </row>
    <row r="86" spans="1:12">
      <c r="A86" s="5">
        <v>45199</v>
      </c>
      <c r="B86" t="s">
        <v>104</v>
      </c>
      <c r="C86" s="4">
        <v>11.324242580966295</v>
      </c>
      <c r="D86" s="4">
        <v>11.230648792585169</v>
      </c>
      <c r="E86" s="4">
        <v>2.9476174705837259</v>
      </c>
      <c r="F86" s="4">
        <v>23.771817879907434</v>
      </c>
      <c r="G86" s="4">
        <v>1.7966676521081051</v>
      </c>
      <c r="H86" s="4">
        <v>79.446083861551898</v>
      </c>
      <c r="I86" s="4">
        <v>11.298722951411655</v>
      </c>
      <c r="J86" s="4">
        <v>1.2464796257038107</v>
      </c>
      <c r="K86" s="4">
        <v>17.314545253271621</v>
      </c>
      <c r="L86" s="4">
        <v>33.809592514076215</v>
      </c>
    </row>
    <row r="87" spans="1:12">
      <c r="A87" s="5">
        <v>45199</v>
      </c>
      <c r="B87" t="s">
        <v>105</v>
      </c>
      <c r="C87" s="4">
        <v>10.782832982963294</v>
      </c>
      <c r="D87" s="4">
        <v>10.774845192379923</v>
      </c>
      <c r="E87" s="4">
        <v>2.9916149186074024</v>
      </c>
      <c r="F87" s="4">
        <v>22.023360024179603</v>
      </c>
      <c r="G87" s="4">
        <v>2.0125317524705433</v>
      </c>
      <c r="H87" s="4">
        <v>77.015987523460353</v>
      </c>
      <c r="I87" s="4">
        <v>10.701045082902072</v>
      </c>
      <c r="J87" s="4">
        <v>1.1961613588005291</v>
      </c>
      <c r="K87" s="4">
        <v>16.382240016119734</v>
      </c>
      <c r="L87" s="4">
        <v>33.443227176010588</v>
      </c>
    </row>
    <row r="88" spans="1:12">
      <c r="A88" s="5">
        <v>45199</v>
      </c>
      <c r="B88" t="s">
        <v>106</v>
      </c>
      <c r="C88" s="4">
        <v>10.241970997458475</v>
      </c>
      <c r="D88" s="4">
        <v>10.266057750542155</v>
      </c>
      <c r="E88" s="4">
        <v>3.185779997021954</v>
      </c>
      <c r="F88" s="4">
        <v>19.828296111373543</v>
      </c>
      <c r="G88" s="4">
        <v>3.1168742174047015</v>
      </c>
      <c r="H88" s="4">
        <v>75.312349411674518</v>
      </c>
      <c r="I88" s="4">
        <v>10.971801758255692</v>
      </c>
      <c r="J88" s="4">
        <v>1.2680876752701611</v>
      </c>
      <c r="K88" s="4">
        <v>15.268864074249031</v>
      </c>
      <c r="L88" s="4">
        <v>35.841753505403219</v>
      </c>
    </row>
    <row r="89" spans="1:12">
      <c r="A89" s="5">
        <v>45199</v>
      </c>
      <c r="B89" t="s">
        <v>107</v>
      </c>
      <c r="C89" s="4">
        <v>10.016632256114461</v>
      </c>
      <c r="D89" s="4">
        <v>9.8685901901586845</v>
      </c>
      <c r="E89" s="4">
        <v>3.3544999941936848</v>
      </c>
      <c r="F89" s="4">
        <v>18.496168854234966</v>
      </c>
      <c r="G89" s="4">
        <v>2.2218235270236737</v>
      </c>
      <c r="H89" s="4">
        <v>75.205378626684308</v>
      </c>
      <c r="I89" s="4">
        <v>11.87415123057122</v>
      </c>
      <c r="J89" s="4">
        <v>1.3985479898078184</v>
      </c>
      <c r="K89" s="4">
        <v>14.49744590282331</v>
      </c>
      <c r="L89" s="4">
        <v>38.770959796156362</v>
      </c>
    </row>
    <row r="90" spans="1:12">
      <c r="A90" s="5">
        <v>45199</v>
      </c>
      <c r="B90" t="s">
        <v>108</v>
      </c>
      <c r="C90" s="4">
        <v>9.9146097147996954</v>
      </c>
      <c r="D90" s="4">
        <v>9.4962949463647117</v>
      </c>
      <c r="E90" s="4">
        <v>3.3076217781558728</v>
      </c>
      <c r="F90" s="4">
        <v>17.329592514076218</v>
      </c>
      <c r="G90" s="4">
        <v>2.0228293088886873</v>
      </c>
      <c r="H90" s="4">
        <v>76.272298372148043</v>
      </c>
      <c r="I90" s="4">
        <v>12.432507786986372</v>
      </c>
      <c r="J90" s="4">
        <v>1.4384037369935072</v>
      </c>
      <c r="K90" s="4">
        <v>13.836395009384143</v>
      </c>
      <c r="L90" s="4">
        <v>39.888074739870149</v>
      </c>
    </row>
    <row r="91" spans="1:12">
      <c r="A91" s="5">
        <v>45199</v>
      </c>
      <c r="B91" t="s">
        <v>109</v>
      </c>
      <c r="C91" s="4">
        <v>9.536029125337107</v>
      </c>
      <c r="D91" s="4">
        <v>8.9620209134688462</v>
      </c>
      <c r="E91" s="4">
        <v>3.0292122198845477</v>
      </c>
      <c r="F91" s="4">
        <v>14.812956496187715</v>
      </c>
      <c r="G91" s="4">
        <v>2.702845929444194</v>
      </c>
      <c r="H91" s="4">
        <v>77.402922509005364</v>
      </c>
      <c r="I91" s="4">
        <v>11.887551215113062</v>
      </c>
      <c r="J91" s="4">
        <v>1.3018177727862634</v>
      </c>
      <c r="K91" s="4">
        <v>12.741970997458475</v>
      </c>
      <c r="L91" s="4">
        <v>38.75635545572527</v>
      </c>
    </row>
    <row r="92" spans="1:12">
      <c r="A92" s="5">
        <v>45291</v>
      </c>
      <c r="B92" t="s">
        <v>102</v>
      </c>
      <c r="C92" s="4">
        <v>9.9974459028233102</v>
      </c>
      <c r="D92" s="4">
        <v>10.686989785694196</v>
      </c>
      <c r="E92" s="4">
        <v>3.095415248013083</v>
      </c>
      <c r="F92" s="4">
        <v>18.425489211458771</v>
      </c>
      <c r="G92" s="4">
        <v>1.8746807378529138</v>
      </c>
      <c r="H92" s="4">
        <v>79.90830496026166</v>
      </c>
      <c r="I92" s="4">
        <v>11.965734653757499</v>
      </c>
      <c r="J92" s="4">
        <v>1.3212744605729385</v>
      </c>
      <c r="K92" s="4">
        <v>15.61699280763918</v>
      </c>
      <c r="L92" s="4">
        <v>40.425489211458768</v>
      </c>
    </row>
    <row r="93" spans="1:12">
      <c r="A93" s="5">
        <v>45291</v>
      </c>
      <c r="B93" t="s">
        <v>103</v>
      </c>
      <c r="C93" s="4">
        <v>10.800462100142061</v>
      </c>
      <c r="D93" s="4">
        <v>10.942760765249849</v>
      </c>
      <c r="E93" s="4">
        <v>3.0011096703144142</v>
      </c>
      <c r="F93" s="4">
        <v>22.514319544705742</v>
      </c>
      <c r="G93" s="4">
        <v>1.7502612707255178</v>
      </c>
      <c r="H93" s="4">
        <v>79.859024327349459</v>
      </c>
      <c r="I93" s="4">
        <v>11.903400467367856</v>
      </c>
      <c r="J93" s="4">
        <v>1.3112438784858629</v>
      </c>
      <c r="K93" s="4">
        <v>16.942879696470495</v>
      </c>
      <c r="L93" s="4">
        <v>36.384877569717261</v>
      </c>
    </row>
    <row r="94" spans="1:12">
      <c r="A94" s="5">
        <v>45291</v>
      </c>
      <c r="B94" t="s">
        <v>104</v>
      </c>
      <c r="C94" s="4">
        <v>10.890494785522321</v>
      </c>
      <c r="D94" s="4">
        <v>10.784866954739133</v>
      </c>
      <c r="E94" s="4">
        <v>2.9421768027561557</v>
      </c>
      <c r="F94" s="4">
        <v>23.214427112486845</v>
      </c>
      <c r="G94" s="4">
        <v>1.8554504395639226</v>
      </c>
      <c r="H94" s="4">
        <v>78.342193406288288</v>
      </c>
      <c r="I94" s="4">
        <v>11.162121290483149</v>
      </c>
      <c r="J94" s="4">
        <v>1.2292636341379617</v>
      </c>
      <c r="K94" s="4">
        <v>16.942951408324564</v>
      </c>
      <c r="L94" s="4">
        <v>33.465272682759235</v>
      </c>
    </row>
    <row r="95" spans="1:12">
      <c r="A95" s="5">
        <v>45291</v>
      </c>
      <c r="B95" t="s">
        <v>105</v>
      </c>
      <c r="C95" s="4">
        <v>10.486816225284851</v>
      </c>
      <c r="D95" s="4">
        <v>10.32757645098788</v>
      </c>
      <c r="E95" s="4">
        <v>3.0409302306251855</v>
      </c>
      <c r="F95" s="4">
        <v>21.42487756971726</v>
      </c>
      <c r="G95" s="4">
        <v>2.0935378076428046</v>
      </c>
      <c r="H95" s="4">
        <v>76.325053208857085</v>
      </c>
      <c r="I95" s="4">
        <v>10.707304857399846</v>
      </c>
      <c r="J95" s="4">
        <v>1.2074818016419768</v>
      </c>
      <c r="K95" s="4">
        <v>15.983251713144842</v>
      </c>
      <c r="L95" s="4">
        <v>33.669636032839541</v>
      </c>
    </row>
    <row r="96" spans="1:12">
      <c r="A96" s="5">
        <v>45291</v>
      </c>
      <c r="B96" t="s">
        <v>106</v>
      </c>
      <c r="C96" s="4">
        <v>10.102090165804142</v>
      </c>
      <c r="D96" s="4">
        <v>9.8351332988852729</v>
      </c>
      <c r="E96" s="4">
        <v>3.2445110184451544</v>
      </c>
      <c r="F96" s="4">
        <v>19.254606573610765</v>
      </c>
      <c r="G96" s="4">
        <v>3.1456269467465932</v>
      </c>
      <c r="H96" s="4">
        <v>75.203536055123109</v>
      </c>
      <c r="I96" s="4">
        <v>11.115167760374923</v>
      </c>
      <c r="J96" s="4">
        <v>1.2975365895773756</v>
      </c>
      <c r="K96" s="4">
        <v>14.886404382407179</v>
      </c>
      <c r="L96" s="4">
        <v>36.430731791547508</v>
      </c>
    </row>
    <row r="97" spans="1:12">
      <c r="A97" s="5">
        <v>45291</v>
      </c>
      <c r="B97" t="s">
        <v>107</v>
      </c>
      <c r="C97" s="4">
        <v>10.04158446309471</v>
      </c>
      <c r="D97" s="4">
        <v>9.4711896262637811</v>
      </c>
      <c r="E97" s="4">
        <v>3.368649694777794</v>
      </c>
      <c r="F97" s="4">
        <v>18.01042748122325</v>
      </c>
      <c r="G97" s="4">
        <v>2.1718878037782656</v>
      </c>
      <c r="H97" s="4">
        <v>75.705327532867045</v>
      </c>
      <c r="I97" s="4">
        <v>12.02281341912968</v>
      </c>
      <c r="J97" s="4">
        <v>1.4190501795773729</v>
      </c>
      <c r="K97" s="4">
        <v>14.1736183208155</v>
      </c>
      <c r="L97" s="4">
        <v>39.181003591547459</v>
      </c>
    </row>
    <row r="98" spans="1:12">
      <c r="A98" s="5">
        <v>45291</v>
      </c>
      <c r="B98" t="s">
        <v>108</v>
      </c>
      <c r="C98" s="4">
        <v>10.102843553038539</v>
      </c>
      <c r="D98" s="4">
        <v>9.1482613766442782</v>
      </c>
      <c r="E98" s="4">
        <v>3.2641809884385484</v>
      </c>
      <c r="F98" s="4">
        <v>16.985272682759238</v>
      </c>
      <c r="G98" s="4">
        <v>1.9401158067174211</v>
      </c>
      <c r="H98" s="4">
        <v>77.258604612503703</v>
      </c>
      <c r="I98" s="4">
        <v>12.449786831414221</v>
      </c>
      <c r="J98" s="4">
        <v>1.431109583501966</v>
      </c>
      <c r="K98" s="4">
        <v>13.606848455172823</v>
      </c>
      <c r="L98" s="4">
        <v>39.742191670039318</v>
      </c>
    </row>
    <row r="99" spans="1:12">
      <c r="A99" s="5">
        <v>45291</v>
      </c>
      <c r="B99" t="s">
        <v>109</v>
      </c>
      <c r="C99" s="4">
        <v>9.8758411264686394</v>
      </c>
      <c r="D99" s="4">
        <v>8.6772293380641958</v>
      </c>
      <c r="E99" s="4">
        <v>2.9681202015944317</v>
      </c>
      <c r="F99" s="4">
        <v>14.647963036485635</v>
      </c>
      <c r="G99" s="4">
        <v>2.663401060790473</v>
      </c>
      <c r="H99" s="4">
        <v>78.634103917262209</v>
      </c>
      <c r="I99" s="4">
        <v>11.757560841649729</v>
      </c>
      <c r="J99" s="4">
        <v>1.2734334871150372</v>
      </c>
      <c r="K99" s="4">
        <v>12.631975357657089</v>
      </c>
      <c r="L99" s="4">
        <v>38.188669742300746</v>
      </c>
    </row>
    <row r="100" spans="1:12">
      <c r="A100" s="5">
        <v>45382</v>
      </c>
      <c r="B100" t="s">
        <v>102</v>
      </c>
      <c r="C100" s="4">
        <v>9.4863950093841432</v>
      </c>
      <c r="D100" s="4">
        <v>10.25401601450776</v>
      </c>
      <c r="E100" s="4">
        <v>3.0352800020149666</v>
      </c>
      <c r="F100" s="4">
        <v>18.026389541653451</v>
      </c>
      <c r="G100" s="4">
        <v>1.8107993761730179</v>
      </c>
      <c r="H100" s="4">
        <v>78.705600040299331</v>
      </c>
      <c r="I100" s="4">
        <v>11.909297426825681</v>
      </c>
      <c r="J100" s="4">
        <v>1.3013194770826726</v>
      </c>
      <c r="K100" s="4">
        <v>15.350926361102301</v>
      </c>
      <c r="L100" s="4">
        <v>40.026389541653451</v>
      </c>
    </row>
    <row r="101" spans="1:12">
      <c r="A101" s="5">
        <v>45382</v>
      </c>
      <c r="B101" t="s">
        <v>103</v>
      </c>
      <c r="C101" s="4">
        <v>10.410021283542832</v>
      </c>
      <c r="D101" s="4">
        <v>10.494926541830356</v>
      </c>
      <c r="E101" s="4">
        <v>2.954799376173018</v>
      </c>
      <c r="F101" s="4">
        <v>21.99103693379725</v>
      </c>
      <c r="G101" s="4">
        <v>1.7602689313342155</v>
      </c>
      <c r="H101" s="4">
        <v>78.646083861551901</v>
      </c>
      <c r="I101" s="4">
        <v>11.741120008059866</v>
      </c>
      <c r="J101" s="4">
        <v>1.2816688346959753</v>
      </c>
      <c r="K101" s="4">
        <v>16.594024622531499</v>
      </c>
      <c r="L101" s="4">
        <v>35.793376693919505</v>
      </c>
    </row>
    <row r="102" spans="1:12">
      <c r="A102" s="5">
        <v>45382</v>
      </c>
      <c r="B102" t="s">
        <v>104</v>
      </c>
      <c r="C102" s="4">
        <v>10.644939764669806</v>
      </c>
      <c r="D102" s="4">
        <v>10.340026016351704</v>
      </c>
      <c r="E102" s="4">
        <v>2.9522689313342156</v>
      </c>
      <c r="F102" s="4">
        <v>22.624567706164783</v>
      </c>
      <c r="G102" s="4">
        <v>1.9301461254502685</v>
      </c>
      <c r="H102" s="4">
        <v>77.415987523460359</v>
      </c>
      <c r="I102" s="4">
        <v>11.043197504692072</v>
      </c>
      <c r="J102" s="4">
        <v>1.2172596889165725</v>
      </c>
      <c r="K102" s="4">
        <v>16.549711804109855</v>
      </c>
      <c r="L102" s="4">
        <v>33.225193778331452</v>
      </c>
    </row>
    <row r="103" spans="1:12">
      <c r="A103" s="5">
        <v>45382</v>
      </c>
      <c r="B103" t="s">
        <v>105</v>
      </c>
      <c r="C103" s="4">
        <v>10.401414422049244</v>
      </c>
      <c r="D103" s="4">
        <v>9.9034632020692648</v>
      </c>
      <c r="E103" s="4">
        <v>3.0981461254502687</v>
      </c>
      <c r="F103" s="4">
        <v>20.833376693919508</v>
      </c>
      <c r="G103" s="4">
        <v>2.164246649679697</v>
      </c>
      <c r="H103" s="4">
        <v>75.912349411674512</v>
      </c>
      <c r="I103" s="4">
        <v>10.741075725336861</v>
      </c>
      <c r="J103" s="4">
        <v>1.2240853268666019</v>
      </c>
      <c r="K103" s="4">
        <v>15.588917795946339</v>
      </c>
      <c r="L103" s="4">
        <v>34.001706537332041</v>
      </c>
    </row>
    <row r="104" spans="1:12">
      <c r="A104" s="5">
        <v>45382</v>
      </c>
      <c r="B104" t="s">
        <v>106</v>
      </c>
      <c r="C104" s="4">
        <v>10.182151450673723</v>
      </c>
      <c r="D104" s="4">
        <v>9.4486557963031075</v>
      </c>
      <c r="E104" s="4">
        <v>3.2962466496796976</v>
      </c>
      <c r="F104" s="4">
        <v>18.726580257260153</v>
      </c>
      <c r="G104" s="4">
        <v>3.1473395616558455</v>
      </c>
      <c r="H104" s="4">
        <v>75.40537862668431</v>
      </c>
      <c r="I104" s="4">
        <v>11.270584501801075</v>
      </c>
      <c r="J104" s="4">
        <v>1.3274823807275742</v>
      </c>
      <c r="K104" s="4">
        <v>14.534386838173436</v>
      </c>
      <c r="L104" s="4">
        <v>37.029647614551479</v>
      </c>
    </row>
    <row r="105" spans="1:12">
      <c r="A105" s="5">
        <v>45382</v>
      </c>
      <c r="B105" t="s">
        <v>107</v>
      </c>
      <c r="C105" s="4">
        <v>10.282131013146817</v>
      </c>
      <c r="D105" s="4">
        <v>9.1377555084457285</v>
      </c>
      <c r="E105" s="4">
        <v>3.3673395616558457</v>
      </c>
      <c r="F105" s="4">
        <v>17.604004086076017</v>
      </c>
      <c r="G105" s="4">
        <v>2.1030296213104394</v>
      </c>
      <c r="H105" s="4">
        <v>76.472298372148046</v>
      </c>
      <c r="I105" s="4">
        <v>12.156986598718788</v>
      </c>
      <c r="J105" s="4">
        <v>1.4348062143717442</v>
      </c>
      <c r="K105" s="4">
        <v>13.902669390717344</v>
      </c>
      <c r="L105" s="4">
        <v>39.496124287434881</v>
      </c>
    </row>
    <row r="106" spans="1:12">
      <c r="A106" s="5">
        <v>45382</v>
      </c>
      <c r="B106" t="s">
        <v>108</v>
      </c>
      <c r="C106" s="4">
        <v>10.488919348859216</v>
      </c>
      <c r="D106" s="4">
        <v>8.8811636096555411</v>
      </c>
      <c r="E106" s="4">
        <v>3.2110296213104395</v>
      </c>
      <c r="F106" s="4">
        <v>16.745193778331455</v>
      </c>
      <c r="G106" s="4">
        <v>1.8639947222776576</v>
      </c>
      <c r="H106" s="4">
        <v>78.402922509005364</v>
      </c>
      <c r="I106" s="4">
        <v>12.439358246623382</v>
      </c>
      <c r="J106" s="4">
        <v>1.4181898362132421</v>
      </c>
      <c r="K106" s="4">
        <v>13.446795852220967</v>
      </c>
      <c r="L106" s="4">
        <v>39.483796724264842</v>
      </c>
    </row>
    <row r="107" spans="1:12">
      <c r="A107" s="5">
        <v>45382</v>
      </c>
      <c r="B107" t="s">
        <v>109</v>
      </c>
      <c r="C107" s="4">
        <v>10.383441845001483</v>
      </c>
      <c r="D107" s="4">
        <v>8.4871162669988713</v>
      </c>
      <c r="E107" s="4">
        <v>2.9119947222776577</v>
      </c>
      <c r="F107" s="4">
        <v>14.600657974827534</v>
      </c>
      <c r="G107" s="4">
        <v>2.6500024483623239</v>
      </c>
      <c r="H107" s="4">
        <v>79.875599940439074</v>
      </c>
      <c r="I107" s="4">
        <v>11.612118485241757</v>
      </c>
      <c r="J107" s="4">
        <v>1.2437163138180036</v>
      </c>
      <c r="K107" s="4">
        <v>12.600438649885023</v>
      </c>
      <c r="L107" s="4">
        <v>37.594326276360079</v>
      </c>
    </row>
    <row r="108" spans="1:12">
      <c r="A108" s="5">
        <v>45473</v>
      </c>
      <c r="B108" t="s">
        <v>102</v>
      </c>
      <c r="C108" s="4">
        <v>9.1419709974584755</v>
      </c>
      <c r="D108" s="4">
        <v>9.8052487578458045</v>
      </c>
      <c r="E108" s="4">
        <v>2.9729512163674729</v>
      </c>
      <c r="F108" s="4">
        <v>17.546504115464394</v>
      </c>
      <c r="G108" s="4">
        <v>1.7677463746823094</v>
      </c>
      <c r="H108" s="4">
        <v>77.459024327349454</v>
      </c>
      <c r="I108" s="4">
        <v>11.82766035212596</v>
      </c>
      <c r="J108" s="4">
        <v>1.2773252057732196</v>
      </c>
      <c r="K108" s="4">
        <v>15.031002743642928</v>
      </c>
      <c r="L108" s="4">
        <v>39.546504115464394</v>
      </c>
    </row>
    <row r="109" spans="1:12">
      <c r="A109" s="5">
        <v>45473</v>
      </c>
      <c r="B109" t="s">
        <v>103</v>
      </c>
      <c r="C109" s="4">
        <v>10.216632256114462</v>
      </c>
      <c r="D109" s="4">
        <v>10.053625277124826</v>
      </c>
      <c r="E109" s="4">
        <v>2.9202526604428543</v>
      </c>
      <c r="F109" s="4">
        <v>21.42027143887265</v>
      </c>
      <c r="G109" s="4">
        <v>1.7966676521081051</v>
      </c>
      <c r="H109" s="4">
        <v>77.542193406288291</v>
      </c>
      <c r="I109" s="4">
        <v>11.574928614204831</v>
      </c>
      <c r="J109" s="4">
        <v>1.2536219335057719</v>
      </c>
      <c r="K109" s="4">
        <v>16.213514292581767</v>
      </c>
      <c r="L109" s="4">
        <v>35.232438670115442</v>
      </c>
    </row>
    <row r="110" spans="1:12">
      <c r="A110" s="5">
        <v>45473</v>
      </c>
      <c r="B110" t="s">
        <v>104</v>
      </c>
      <c r="C110" s="4">
        <v>10.614609714799695</v>
      </c>
      <c r="D110" s="4">
        <v>9.9237840324197411</v>
      </c>
      <c r="E110" s="4">
        <v>2.9772663766433523</v>
      </c>
      <c r="F110" s="4">
        <v>22.025755494062302</v>
      </c>
      <c r="G110" s="4">
        <v>2.0125317524705433</v>
      </c>
      <c r="H110" s="4">
        <v>76.725053208857091</v>
      </c>
      <c r="I110" s="4">
        <v>10.945247392761161</v>
      </c>
      <c r="J110" s="4">
        <v>1.2109463494549801</v>
      </c>
      <c r="K110" s="4">
        <v>16.1505036627082</v>
      </c>
      <c r="L110" s="4">
        <v>33.098926989099603</v>
      </c>
    </row>
    <row r="111" spans="1:12">
      <c r="A111" s="5">
        <v>45473</v>
      </c>
      <c r="B111" t="s">
        <v>105</v>
      </c>
      <c r="C111" s="4">
        <v>10.536029125337107</v>
      </c>
      <c r="D111" s="4">
        <v>9.5288747532826985</v>
      </c>
      <c r="E111" s="4">
        <v>3.1597051958631108</v>
      </c>
      <c r="F111" s="4">
        <v>20.272438670115445</v>
      </c>
      <c r="G111" s="4">
        <v>2.2168742174047016</v>
      </c>
      <c r="H111" s="4">
        <v>75.803536055123104</v>
      </c>
      <c r="I111" s="4">
        <v>10.80142177651927</v>
      </c>
      <c r="J111" s="4">
        <v>1.2453100043191516</v>
      </c>
      <c r="K111" s="4">
        <v>15.214959113410297</v>
      </c>
      <c r="L111" s="4">
        <v>34.426200086383034</v>
      </c>
    </row>
    <row r="112" spans="1:12">
      <c r="A112" s="5">
        <v>45473</v>
      </c>
      <c r="B112" t="s">
        <v>106</v>
      </c>
      <c r="C112" s="4">
        <v>10.47334121686484</v>
      </c>
      <c r="D112" s="4">
        <v>9.1306545420328504</v>
      </c>
      <c r="E112" s="4">
        <v>3.3377702197528767</v>
      </c>
      <c r="F112" s="4">
        <v>18.265267905271209</v>
      </c>
      <c r="G112" s="4">
        <v>3.1218235270236736</v>
      </c>
      <c r="H112" s="4">
        <v>75.905327532867048</v>
      </c>
      <c r="I112" s="4">
        <v>11.43374483493977</v>
      </c>
      <c r="J112" s="4">
        <v>1.3567312045270068</v>
      </c>
      <c r="K112" s="4">
        <v>14.226845270180807</v>
      </c>
      <c r="L112" s="4">
        <v>37.614624090540133</v>
      </c>
    </row>
    <row r="113" spans="1:12">
      <c r="A113" s="5">
        <v>45473</v>
      </c>
      <c r="B113" t="s">
        <v>107</v>
      </c>
      <c r="C113" s="4">
        <v>10.711791072934137</v>
      </c>
      <c r="D113" s="4">
        <v>8.8890191551885493</v>
      </c>
      <c r="E113" s="4">
        <v>3.3506510525598352</v>
      </c>
      <c r="F113" s="4">
        <v>17.293101487014596</v>
      </c>
      <c r="G113" s="4">
        <v>2.0228293088886877</v>
      </c>
      <c r="H113" s="4">
        <v>77.458604612503706</v>
      </c>
      <c r="I113" s="4">
        <v>12.272952355978482</v>
      </c>
      <c r="J113" s="4">
        <v>1.445187950804723</v>
      </c>
      <c r="K113" s="4">
        <v>13.695400991343064</v>
      </c>
      <c r="L113" s="4">
        <v>39.703759016094459</v>
      </c>
    </row>
    <row r="114" spans="1:12">
      <c r="A114" s="5">
        <v>45473</v>
      </c>
      <c r="B114" t="s">
        <v>108</v>
      </c>
      <c r="C114" s="4">
        <v>11.030335520749846</v>
      </c>
      <c r="D114" s="4">
        <v>8.7116084908828491</v>
      </c>
      <c r="E114" s="4">
        <v>3.1514723713451085</v>
      </c>
      <c r="F114" s="4">
        <v>16.618926989099609</v>
      </c>
      <c r="G114" s="4">
        <v>1.8028459294441943</v>
      </c>
      <c r="H114" s="4">
        <v>79.634103917262209</v>
      </c>
      <c r="I114" s="4">
        <v>12.401511045583</v>
      </c>
      <c r="J114" s="4">
        <v>1.4001595646811171</v>
      </c>
      <c r="K114" s="4">
        <v>13.362617992733071</v>
      </c>
      <c r="L114" s="4">
        <v>39.123191293622341</v>
      </c>
    </row>
    <row r="115" spans="1:12">
      <c r="A115" s="5">
        <v>45473</v>
      </c>
      <c r="B115" t="s">
        <v>109</v>
      </c>
      <c r="C115" s="4">
        <v>11.002951493733876</v>
      </c>
      <c r="D115" s="4">
        <v>8.4035020102340159</v>
      </c>
      <c r="E115" s="4">
        <v>2.864325392398801</v>
      </c>
      <c r="F115" s="4">
        <v>14.672927214741973</v>
      </c>
      <c r="G115" s="4">
        <v>2.6641250932461285</v>
      </c>
      <c r="H115" s="4">
        <v>81.050220368903084</v>
      </c>
      <c r="I115" s="4">
        <v>11.455254867996517</v>
      </c>
      <c r="J115" s="4">
        <v>1.2138509828165531</v>
      </c>
      <c r="K115" s="4">
        <v>12.648618143161315</v>
      </c>
      <c r="L115" s="4">
        <v>36.997019656331062</v>
      </c>
    </row>
    <row r="116" spans="1:12">
      <c r="A116" s="5">
        <v>45565</v>
      </c>
      <c r="B116" t="s">
        <v>102</v>
      </c>
      <c r="C116" s="4">
        <v>9.0020901658041428</v>
      </c>
      <c r="D116" s="4">
        <v>9.3685901901586845</v>
      </c>
      <c r="E116" s="4">
        <v>2.912304193077595</v>
      </c>
      <c r="F116" s="4">
        <v>17.004964450467714</v>
      </c>
      <c r="G116" s="4">
        <v>1.7502612707255178</v>
      </c>
      <c r="H116" s="4">
        <v>76.246083861551895</v>
      </c>
      <c r="I116" s="4">
        <v>11.723085881738324</v>
      </c>
      <c r="J116" s="4">
        <v>1.2502482225233857</v>
      </c>
      <c r="K116" s="4">
        <v>14.669976300311809</v>
      </c>
      <c r="L116" s="4">
        <v>39.004964450467718</v>
      </c>
    </row>
    <row r="117" spans="1:12">
      <c r="A117" s="5">
        <v>45565</v>
      </c>
      <c r="B117" t="s">
        <v>103</v>
      </c>
      <c r="C117" s="4">
        <v>10.241584463094709</v>
      </c>
      <c r="D117" s="4">
        <v>9.6462949463647121</v>
      </c>
      <c r="E117" s="4">
        <v>2.8996174705837259</v>
      </c>
      <c r="F117" s="4">
        <v>20.824777679059913</v>
      </c>
      <c r="G117" s="4">
        <v>1.8554504395639229</v>
      </c>
      <c r="H117" s="4">
        <v>76.615987523460362</v>
      </c>
      <c r="I117" s="4">
        <v>11.409432037124514</v>
      </c>
      <c r="J117" s="4">
        <v>1.228221316358592</v>
      </c>
      <c r="K117" s="4">
        <v>15.816518452706608</v>
      </c>
      <c r="L117" s="4">
        <v>34.724426327171848</v>
      </c>
    </row>
    <row r="118" spans="1:12">
      <c r="A118" s="5">
        <v>45565</v>
      </c>
      <c r="B118" t="s">
        <v>104</v>
      </c>
      <c r="C118" s="4">
        <v>10.80284355303854</v>
      </c>
      <c r="D118" s="4">
        <v>9.5620209134688476</v>
      </c>
      <c r="E118" s="4">
        <v>3.0156149186074024</v>
      </c>
      <c r="F118" s="4">
        <v>21.441863229414729</v>
      </c>
      <c r="G118" s="4">
        <v>2.0935378076428051</v>
      </c>
      <c r="H118" s="4">
        <v>76.312349411674518</v>
      </c>
      <c r="I118" s="4">
        <v>10.870985498729238</v>
      </c>
      <c r="J118" s="4">
        <v>1.2105753086746238</v>
      </c>
      <c r="K118" s="4">
        <v>15.761242152943153</v>
      </c>
      <c r="L118" s="4">
        <v>33.091506173492476</v>
      </c>
    </row>
    <row r="119" spans="1:12">
      <c r="A119" s="5">
        <v>45565</v>
      </c>
      <c r="B119" t="s">
        <v>105</v>
      </c>
      <c r="C119" s="4">
        <v>10.875841126468639</v>
      </c>
      <c r="D119" s="4">
        <v>9.2271012000840607</v>
      </c>
      <c r="E119" s="4">
        <v>3.2217799970219541</v>
      </c>
      <c r="F119" s="4">
        <v>19.764426327171844</v>
      </c>
      <c r="G119" s="4">
        <v>2.2456269467465932</v>
      </c>
      <c r="H119" s="4">
        <v>76.005378626684305</v>
      </c>
      <c r="I119" s="4">
        <v>10.88667060843242</v>
      </c>
      <c r="J119" s="4">
        <v>1.2703096730879362</v>
      </c>
      <c r="K119" s="4">
        <v>14.876284218114563</v>
      </c>
      <c r="L119" s="4">
        <v>34.926193461758729</v>
      </c>
    </row>
    <row r="120" spans="1:12">
      <c r="A120" s="5">
        <v>45565</v>
      </c>
      <c r="B120" t="s">
        <v>106</v>
      </c>
      <c r="C120" s="4">
        <v>10.943603516511383</v>
      </c>
      <c r="D120" s="4">
        <v>8.9009013138509818</v>
      </c>
      <c r="E120" s="4">
        <v>3.3664999941936848</v>
      </c>
      <c r="F120" s="4">
        <v>17.889060585362426</v>
      </c>
      <c r="G120" s="4">
        <v>3.0718878037782651</v>
      </c>
      <c r="H120" s="4">
        <v>76.672298372148049</v>
      </c>
      <c r="I120" s="4">
        <v>11.600127009882174</v>
      </c>
      <c r="J120" s="4">
        <v>1.3841170026707912</v>
      </c>
      <c r="K120" s="4">
        <v>13.976040390241618</v>
      </c>
      <c r="L120" s="4">
        <v>38.162340053415825</v>
      </c>
    </row>
    <row r="121" spans="1:12">
      <c r="A121" s="5">
        <v>45565</v>
      </c>
      <c r="B121" t="s">
        <v>107</v>
      </c>
      <c r="C121" s="4">
        <v>11.283265038982099</v>
      </c>
      <c r="D121" s="4">
        <v>8.740445788202825</v>
      </c>
      <c r="E121" s="4">
        <v>3.3196217781558728</v>
      </c>
      <c r="F121" s="4">
        <v>17.090114389553683</v>
      </c>
      <c r="G121" s="4">
        <v>1.9401158067174207</v>
      </c>
      <c r="H121" s="4">
        <v>78.602922509005367</v>
      </c>
      <c r="I121" s="4">
        <v>12.367496869618806</v>
      </c>
      <c r="J121" s="4">
        <v>1.4497815018061908</v>
      </c>
      <c r="K121" s="4">
        <v>13.560076259702456</v>
      </c>
      <c r="L121" s="4">
        <v>39.795630036123811</v>
      </c>
    </row>
    <row r="122" spans="1:12">
      <c r="A122" s="5">
        <v>45565</v>
      </c>
      <c r="B122" t="s">
        <v>108</v>
      </c>
      <c r="C122" s="4">
        <v>11.667489669879542</v>
      </c>
      <c r="D122" s="4">
        <v>8.6501381363846175</v>
      </c>
      <c r="E122" s="4">
        <v>3.0892122198845477</v>
      </c>
      <c r="F122" s="4">
        <v>16.611506173492479</v>
      </c>
      <c r="G122" s="4">
        <v>1.7634010607904729</v>
      </c>
      <c r="H122" s="4">
        <v>80.875599940439074</v>
      </c>
      <c r="I122" s="4">
        <v>12.337294108094694</v>
      </c>
      <c r="J122" s="4">
        <v>1.3777375789337643</v>
      </c>
      <c r="K122" s="4">
        <v>13.357670782328318</v>
      </c>
      <c r="L122" s="4">
        <v>38.674751578675284</v>
      </c>
    </row>
    <row r="123" spans="1:12">
      <c r="A123" s="5">
        <v>45565</v>
      </c>
      <c r="B123" t="s">
        <v>109</v>
      </c>
      <c r="C123" s="4">
        <v>11.66617066695839</v>
      </c>
      <c r="D123" s="4">
        <v>8.4315852972762002</v>
      </c>
      <c r="E123" s="4">
        <v>2.8280760600070827</v>
      </c>
      <c r="F123" s="4">
        <v>14.861889609692332</v>
      </c>
      <c r="G123" s="4">
        <v>2.7042142884408529</v>
      </c>
      <c r="H123" s="4">
        <v>82.084932993593938</v>
      </c>
      <c r="I123" s="4">
        <v>11.291317235554748</v>
      </c>
      <c r="J123" s="4">
        <v>1.1850281306122108</v>
      </c>
      <c r="K123" s="4">
        <v>12.774593073128219</v>
      </c>
      <c r="L123" s="4">
        <v>36.420562612244218</v>
      </c>
    </row>
    <row r="124" spans="1:12">
      <c r="A124" s="5">
        <v>45657</v>
      </c>
      <c r="B124" t="s">
        <v>102</v>
      </c>
      <c r="C124" s="4">
        <v>9.0821514506737238</v>
      </c>
      <c r="D124" s="4">
        <v>8.9711896262637811</v>
      </c>
      <c r="E124" s="4">
        <v>2.8571096703144141</v>
      </c>
      <c r="F124" s="4">
        <v>16.423360024179601</v>
      </c>
      <c r="G124" s="4">
        <v>1.7602689313342155</v>
      </c>
      <c r="H124" s="4">
        <v>75.142193406288285</v>
      </c>
      <c r="I124" s="4">
        <v>11.598472144103956</v>
      </c>
      <c r="J124" s="4">
        <v>1.2211680012089801</v>
      </c>
      <c r="K124" s="4">
        <v>14.282240016119735</v>
      </c>
      <c r="L124" s="4">
        <v>38.423360024179601</v>
      </c>
    </row>
    <row r="125" spans="1:12">
      <c r="A125" s="5">
        <v>45657</v>
      </c>
      <c r="B125" t="s">
        <v>103</v>
      </c>
      <c r="C125" s="4">
        <v>10.482131013146816</v>
      </c>
      <c r="D125" s="4">
        <v>9.2982613766442785</v>
      </c>
      <c r="E125" s="4">
        <v>2.8941768027561556</v>
      </c>
      <c r="F125" s="4">
        <v>20.228296111373545</v>
      </c>
      <c r="G125" s="4">
        <v>1.9301461254502685</v>
      </c>
      <c r="H125" s="4">
        <v>75.925053208857094</v>
      </c>
      <c r="I125" s="4">
        <v>11.24921677231038</v>
      </c>
      <c r="J125" s="4">
        <v>1.2064796257038106</v>
      </c>
      <c r="K125" s="4">
        <v>15.418864074249029</v>
      </c>
      <c r="L125" s="4">
        <v>34.289592514076219</v>
      </c>
    </row>
    <row r="126" spans="1:12">
      <c r="A126" s="5">
        <v>45657</v>
      </c>
      <c r="B126" t="s">
        <v>104</v>
      </c>
      <c r="C126" s="4">
        <v>11.188919348859216</v>
      </c>
      <c r="D126" s="4">
        <v>9.2772293380641973</v>
      </c>
      <c r="E126" s="4">
        <v>3.0649302306251855</v>
      </c>
      <c r="F126" s="4">
        <v>20.896168854234965</v>
      </c>
      <c r="G126" s="4">
        <v>2.164246649679697</v>
      </c>
      <c r="H126" s="4">
        <v>76.203536055123109</v>
      </c>
      <c r="I126" s="4">
        <v>10.822469882334904</v>
      </c>
      <c r="J126" s="4">
        <v>1.2161613588005291</v>
      </c>
      <c r="K126" s="4">
        <v>15.397445902823309</v>
      </c>
      <c r="L126" s="4">
        <v>33.203227176010586</v>
      </c>
    </row>
    <row r="127" spans="1:12">
      <c r="A127" s="5">
        <v>45657</v>
      </c>
      <c r="B127" t="s">
        <v>105</v>
      </c>
      <c r="C127" s="4">
        <v>11.383441845001483</v>
      </c>
      <c r="D127" s="4">
        <v>9.0169053603947908</v>
      </c>
      <c r="E127" s="4">
        <v>3.2805110184451545</v>
      </c>
      <c r="F127" s="4">
        <v>19.329592514076218</v>
      </c>
      <c r="G127" s="4">
        <v>2.2473395616558456</v>
      </c>
      <c r="H127" s="4">
        <v>76.505327532867042</v>
      </c>
      <c r="I127" s="4">
        <v>10.994459674429608</v>
      </c>
      <c r="J127" s="4">
        <v>1.2980876752701609</v>
      </c>
      <c r="K127" s="4">
        <v>14.586395009384145</v>
      </c>
      <c r="L127" s="4">
        <v>35.481753505403219</v>
      </c>
    </row>
    <row r="128" spans="1:12">
      <c r="A128" s="5">
        <v>45657</v>
      </c>
      <c r="B128" t="s">
        <v>106</v>
      </c>
      <c r="C128" s="4">
        <v>11.541169003602148</v>
      </c>
      <c r="D128" s="4">
        <v>8.7736810546941744</v>
      </c>
      <c r="E128" s="4">
        <v>3.380649694777794</v>
      </c>
      <c r="F128" s="4">
        <v>17.612956496187714</v>
      </c>
      <c r="G128" s="4">
        <v>3.0030296213104393</v>
      </c>
      <c r="H128" s="4">
        <v>77.658604612503709</v>
      </c>
      <c r="I128" s="4">
        <v>11.765119988087816</v>
      </c>
      <c r="J128" s="4">
        <v>1.4085479898078184</v>
      </c>
      <c r="K128" s="4">
        <v>13.791970997458476</v>
      </c>
      <c r="L128" s="4">
        <v>38.650959796156364</v>
      </c>
    </row>
    <row r="129" spans="1:12">
      <c r="A129" s="5">
        <v>45657</v>
      </c>
      <c r="B129" t="s">
        <v>107</v>
      </c>
      <c r="C129" s="4">
        <v>11.933641566904887</v>
      </c>
      <c r="D129" s="4">
        <v>8.7012729798443189</v>
      </c>
      <c r="E129" s="4">
        <v>3.276180988438548</v>
      </c>
      <c r="F129" s="4">
        <v>17.003135248706215</v>
      </c>
      <c r="G129" s="4">
        <v>1.8639947222776576</v>
      </c>
      <c r="H129" s="4">
        <v>79.834103917262212</v>
      </c>
      <c r="I129" s="4">
        <v>12.437999976774739</v>
      </c>
      <c r="J129" s="4">
        <v>1.4484037369935072</v>
      </c>
      <c r="K129" s="4">
        <v>13.502090165804143</v>
      </c>
      <c r="L129" s="4">
        <v>39.768074739870144</v>
      </c>
    </row>
    <row r="130" spans="1:12">
      <c r="A130" s="5">
        <v>45657</v>
      </c>
      <c r="B130" t="s">
        <v>108</v>
      </c>
      <c r="C130" s="4">
        <v>12.330239976175632</v>
      </c>
      <c r="D130" s="4">
        <v>8.7005744750767224</v>
      </c>
      <c r="E130" s="4">
        <v>3.0281202015944317</v>
      </c>
      <c r="F130" s="4">
        <v>16.723227176010585</v>
      </c>
      <c r="G130" s="4">
        <v>1.7500024483623242</v>
      </c>
      <c r="H130" s="4">
        <v>82.050220368903084</v>
      </c>
      <c r="I130" s="4">
        <v>12.24848711262349</v>
      </c>
      <c r="J130" s="4">
        <v>1.3518177727862635</v>
      </c>
      <c r="K130" s="4">
        <v>13.432151450673723</v>
      </c>
      <c r="L130" s="4">
        <v>38.156355455725269</v>
      </c>
    </row>
    <row r="131" spans="1:12">
      <c r="A131" s="5">
        <v>45657</v>
      </c>
      <c r="B131" t="s">
        <v>109</v>
      </c>
      <c r="C131" s="4">
        <v>12.300088147561235</v>
      </c>
      <c r="D131" s="4">
        <v>8.5696200453563307</v>
      </c>
      <c r="E131" s="4">
        <v>2.8055005330198304</v>
      </c>
      <c r="F131" s="4">
        <v>15.160011825297262</v>
      </c>
      <c r="G131" s="4">
        <v>2.7658567704998913</v>
      </c>
      <c r="H131" s="4">
        <v>82.915404395057521</v>
      </c>
      <c r="I131" s="4">
        <v>11.12484887953819</v>
      </c>
      <c r="J131" s="4">
        <v>1.1583968333665946</v>
      </c>
      <c r="K131" s="4">
        <v>12.97334121686484</v>
      </c>
      <c r="L131" s="4">
        <v>35.887936667331893</v>
      </c>
    </row>
    <row r="132" spans="1:12">
      <c r="A132" s="5">
        <v>45747</v>
      </c>
      <c r="B132" t="s">
        <v>102</v>
      </c>
      <c r="C132" s="4">
        <v>9.3733412168648407</v>
      </c>
      <c r="D132" s="4">
        <v>8.6377555084457285</v>
      </c>
      <c r="E132" s="4">
        <v>2.8107993761730179</v>
      </c>
      <c r="F132" s="4">
        <v>15.824877569717259</v>
      </c>
      <c r="G132" s="4">
        <v>1.7966676521081051</v>
      </c>
      <c r="H132" s="4">
        <v>74.215987523460356</v>
      </c>
      <c r="I132" s="4">
        <v>11.457272626635811</v>
      </c>
      <c r="J132" s="4">
        <v>1.191243878485863</v>
      </c>
      <c r="K132" s="4">
        <v>13.883251713144841</v>
      </c>
      <c r="L132" s="4">
        <v>37.824877569717259</v>
      </c>
    </row>
    <row r="133" spans="1:12">
      <c r="A133" s="5">
        <v>45747</v>
      </c>
      <c r="B133" t="s">
        <v>103</v>
      </c>
      <c r="C133" s="4">
        <v>10.911791072934136</v>
      </c>
      <c r="D133" s="4">
        <v>9.0311636096555414</v>
      </c>
      <c r="E133" s="4">
        <v>2.9042689313342156</v>
      </c>
      <c r="F133" s="4">
        <v>19.654606573610767</v>
      </c>
      <c r="G133" s="4">
        <v>2.0125317524705433</v>
      </c>
      <c r="H133" s="4">
        <v>75.512349411674521</v>
      </c>
      <c r="I133" s="4">
        <v>11.098722951411656</v>
      </c>
      <c r="J133" s="4">
        <v>1.1892636341379617</v>
      </c>
      <c r="K133" s="4">
        <v>15.036404382407177</v>
      </c>
      <c r="L133" s="4">
        <v>33.945272682759239</v>
      </c>
    </row>
    <row r="134" spans="1:12">
      <c r="A134" s="5">
        <v>45747</v>
      </c>
      <c r="B134" t="s">
        <v>104</v>
      </c>
      <c r="C134" s="4">
        <v>11.730335520749845</v>
      </c>
      <c r="D134" s="4">
        <v>9.0871162669988728</v>
      </c>
      <c r="E134" s="4">
        <v>3.1221461254502687</v>
      </c>
      <c r="F134" s="4">
        <v>20.410427481223248</v>
      </c>
      <c r="G134" s="4">
        <v>2.2168742174047016</v>
      </c>
      <c r="H134" s="4">
        <v>76.40537862668431</v>
      </c>
      <c r="I134" s="4">
        <v>10.801045082902073</v>
      </c>
      <c r="J134" s="4">
        <v>1.2274818016419768</v>
      </c>
      <c r="K134" s="4">
        <v>15.073618320815498</v>
      </c>
      <c r="L134" s="4">
        <v>33.429636032839539</v>
      </c>
    </row>
    <row r="135" spans="1:12">
      <c r="A135" s="5">
        <v>45747</v>
      </c>
      <c r="B135" t="s">
        <v>105</v>
      </c>
      <c r="C135" s="4">
        <v>12.002951493733876</v>
      </c>
      <c r="D135" s="4">
        <v>8.9113561934597634</v>
      </c>
      <c r="E135" s="4">
        <v>3.3322466496796972</v>
      </c>
      <c r="F135" s="4">
        <v>18.985272682759238</v>
      </c>
      <c r="G135" s="4">
        <v>2.2218235270236737</v>
      </c>
      <c r="H135" s="4">
        <v>77.272298372148043</v>
      </c>
      <c r="I135" s="4">
        <v>11.121801758255689</v>
      </c>
      <c r="J135" s="4">
        <v>1.3275365895773754</v>
      </c>
      <c r="K135" s="4">
        <v>14.356848455172825</v>
      </c>
      <c r="L135" s="4">
        <v>36.070731791547509</v>
      </c>
    </row>
    <row r="136" spans="1:12">
      <c r="A136" s="5">
        <v>45747</v>
      </c>
      <c r="B136" t="s">
        <v>106</v>
      </c>
      <c r="C136" s="4">
        <v>12.200254019764346</v>
      </c>
      <c r="D136" s="4">
        <v>8.7569037040954871</v>
      </c>
      <c r="E136" s="4">
        <v>3.3793395616558457</v>
      </c>
      <c r="F136" s="4">
        <v>17.447963036485632</v>
      </c>
      <c r="G136" s="4">
        <v>2.9228293088886876</v>
      </c>
      <c r="H136" s="4">
        <v>78.80292250900537</v>
      </c>
      <c r="I136" s="4">
        <v>11.924151230571219</v>
      </c>
      <c r="J136" s="4">
        <v>1.4290501795773731</v>
      </c>
      <c r="K136" s="4">
        <v>13.681975357657089</v>
      </c>
      <c r="L136" s="4">
        <v>39.061003591547461</v>
      </c>
    </row>
    <row r="137" spans="1:12">
      <c r="A137" s="5">
        <v>45747</v>
      </c>
      <c r="B137" t="s">
        <v>107</v>
      </c>
      <c r="C137" s="4">
        <v>12.591323236418322</v>
      </c>
      <c r="D137" s="4">
        <v>8.7739363056063517</v>
      </c>
      <c r="E137" s="4">
        <v>3.2230296213104395</v>
      </c>
      <c r="F137" s="4">
        <v>17.03563164833923</v>
      </c>
      <c r="G137" s="4">
        <v>1.8028459294441943</v>
      </c>
      <c r="H137" s="4">
        <v>81.075599940439076</v>
      </c>
      <c r="I137" s="4">
        <v>12.482507786986373</v>
      </c>
      <c r="J137" s="4">
        <v>1.4411095835019661</v>
      </c>
      <c r="K137" s="4">
        <v>13.523754432226154</v>
      </c>
      <c r="L137" s="4">
        <v>39.622191670039314</v>
      </c>
    </row>
    <row r="138" spans="1:12">
      <c r="A138" s="5">
        <v>45747</v>
      </c>
      <c r="B138" t="s">
        <v>108</v>
      </c>
      <c r="C138" s="4">
        <v>12.94562683825936</v>
      </c>
      <c r="D138" s="4">
        <v>8.8597816197037229</v>
      </c>
      <c r="E138" s="4">
        <v>2.9719947222776577</v>
      </c>
      <c r="F138" s="4">
        <v>16.949636032839543</v>
      </c>
      <c r="G138" s="4">
        <v>1.7641250932461288</v>
      </c>
      <c r="H138" s="4">
        <v>83.084932993593938</v>
      </c>
      <c r="I138" s="4">
        <v>12.137551215113062</v>
      </c>
      <c r="J138" s="4">
        <v>1.3234334871150373</v>
      </c>
      <c r="K138" s="4">
        <v>13.583090688559693</v>
      </c>
      <c r="L138" s="4">
        <v>37.588669742300745</v>
      </c>
    </row>
    <row r="139" spans="1:12">
      <c r="A139" s="5">
        <v>45747</v>
      </c>
      <c r="B139" t="s">
        <v>109</v>
      </c>
      <c r="C139" s="4">
        <v>12.834918427708718</v>
      </c>
      <c r="D139" s="4">
        <v>8.8090239223992217</v>
      </c>
      <c r="E139" s="4">
        <v>2.798002448362324</v>
      </c>
      <c r="F139" s="4">
        <v>15.555408669599647</v>
      </c>
      <c r="G139" s="4">
        <v>2.8422665585247073</v>
      </c>
      <c r="H139" s="4">
        <v>83.489999883873693</v>
      </c>
      <c r="I139" s="4">
        <v>10.960463226869683</v>
      </c>
      <c r="J139" s="4">
        <v>1.1350187968609686</v>
      </c>
      <c r="K139" s="4">
        <v>13.23693911306643</v>
      </c>
      <c r="L139" s="4">
        <v>35.420375937219376</v>
      </c>
    </row>
    <row r="140" spans="1:12">
      <c r="A140" s="5">
        <v>45838</v>
      </c>
      <c r="B140" t="s">
        <v>102</v>
      </c>
      <c r="C140" s="4">
        <v>9.8436035165113829</v>
      </c>
      <c r="D140" s="4">
        <v>8.3890191551885493</v>
      </c>
      <c r="E140" s="4">
        <v>2.7762526604428541</v>
      </c>
      <c r="F140" s="4">
        <v>15.233376693919507</v>
      </c>
      <c r="G140" s="4">
        <v>1.8554504395639229</v>
      </c>
      <c r="H140" s="4">
        <v>73.525053208857088</v>
      </c>
      <c r="I140" s="4">
        <v>11.303400467367856</v>
      </c>
      <c r="J140" s="4">
        <v>1.1616688346959754</v>
      </c>
      <c r="K140" s="4">
        <v>13.488917795946337</v>
      </c>
      <c r="L140" s="4">
        <v>37.233376693919503</v>
      </c>
    </row>
    <row r="141" spans="1:12">
      <c r="A141" s="5">
        <v>45838</v>
      </c>
      <c r="B141" t="s">
        <v>103</v>
      </c>
      <c r="C141" s="4">
        <v>11.483265038982099</v>
      </c>
      <c r="D141" s="4">
        <v>8.8616084908828494</v>
      </c>
      <c r="E141" s="4">
        <v>2.9292663766433522</v>
      </c>
      <c r="F141" s="4">
        <v>19.126580257260155</v>
      </c>
      <c r="G141" s="4">
        <v>2.0935378076428051</v>
      </c>
      <c r="H141" s="4">
        <v>75.403536055123112</v>
      </c>
      <c r="I141" s="4">
        <v>10.962121290483148</v>
      </c>
      <c r="J141" s="4">
        <v>1.1772596889165725</v>
      </c>
      <c r="K141" s="4">
        <v>14.684386838173436</v>
      </c>
      <c r="L141" s="4">
        <v>33.705193778331456</v>
      </c>
    </row>
    <row r="142" spans="1:12">
      <c r="A142" s="5">
        <v>45838</v>
      </c>
      <c r="B142" t="s">
        <v>104</v>
      </c>
      <c r="C142" s="4">
        <v>12.367489669879541</v>
      </c>
      <c r="D142" s="4">
        <v>9.0035020102340173</v>
      </c>
      <c r="E142" s="4">
        <v>3.1837051958631108</v>
      </c>
      <c r="F142" s="4">
        <v>20.004004086076016</v>
      </c>
      <c r="G142" s="4">
        <v>2.2456269467465932</v>
      </c>
      <c r="H142" s="4">
        <v>76.905327532867048</v>
      </c>
      <c r="I142" s="4">
        <v>10.807304857399847</v>
      </c>
      <c r="J142" s="4">
        <v>1.2440853268666019</v>
      </c>
      <c r="K142" s="4">
        <v>14.802669390717343</v>
      </c>
      <c r="L142" s="4">
        <v>33.761706537332039</v>
      </c>
    </row>
    <row r="143" spans="1:12">
      <c r="A143" s="5">
        <v>45838</v>
      </c>
      <c r="B143" t="s">
        <v>105</v>
      </c>
      <c r="C143" s="4">
        <v>12.66617066695839</v>
      </c>
      <c r="D143" s="4">
        <v>8.9170162352599149</v>
      </c>
      <c r="E143" s="4">
        <v>3.3737702197528767</v>
      </c>
      <c r="F143" s="4">
        <v>18.745193778331455</v>
      </c>
      <c r="G143" s="4">
        <v>2.1718878037782652</v>
      </c>
      <c r="H143" s="4">
        <v>78.258604612503703</v>
      </c>
      <c r="I143" s="4">
        <v>11.265167760374922</v>
      </c>
      <c r="J143" s="4">
        <v>1.357482380727574</v>
      </c>
      <c r="K143" s="4">
        <v>14.196795852220969</v>
      </c>
      <c r="L143" s="4">
        <v>36.669647614551479</v>
      </c>
    </row>
    <row r="144" spans="1:12">
      <c r="A144" s="5">
        <v>45838</v>
      </c>
      <c r="B144" t="s">
        <v>106</v>
      </c>
      <c r="C144" s="4">
        <v>12.84830246114244</v>
      </c>
      <c r="D144" s="4">
        <v>8.8516123964553692</v>
      </c>
      <c r="E144" s="4">
        <v>3.3626510525598352</v>
      </c>
      <c r="F144" s="4">
        <v>17.400657974827531</v>
      </c>
      <c r="G144" s="4">
        <v>2.8401158067174204</v>
      </c>
      <c r="H144" s="4">
        <v>80.034103917262215</v>
      </c>
      <c r="I144" s="4">
        <v>12.07281341912968</v>
      </c>
      <c r="J144" s="4">
        <v>1.4448062143717442</v>
      </c>
      <c r="K144" s="4">
        <v>13.650438649885023</v>
      </c>
      <c r="L144" s="4">
        <v>39.376124287434877</v>
      </c>
    </row>
    <row r="145" spans="1:12">
      <c r="A145" s="5">
        <v>45838</v>
      </c>
      <c r="B145" t="s">
        <v>107</v>
      </c>
      <c r="C145" s="4">
        <v>13.183908432636725</v>
      </c>
      <c r="D145" s="4">
        <v>8.9539179118321339</v>
      </c>
      <c r="E145" s="4">
        <v>3.1634723713451085</v>
      </c>
      <c r="F145" s="4">
        <v>17.186308059547677</v>
      </c>
      <c r="G145" s="4">
        <v>1.7634010607904729</v>
      </c>
      <c r="H145" s="4">
        <v>82.250220368903086</v>
      </c>
      <c r="I145" s="4">
        <v>12.499786831414221</v>
      </c>
      <c r="J145" s="4">
        <v>1.4281898362132421</v>
      </c>
      <c r="K145" s="4">
        <v>13.624205373031785</v>
      </c>
      <c r="L145" s="4">
        <v>39.363796724264837</v>
      </c>
    </row>
    <row r="146" spans="1:12">
      <c r="A146" s="5">
        <v>45838</v>
      </c>
      <c r="B146" t="s">
        <v>108</v>
      </c>
      <c r="C146" s="4">
        <v>13.445904711956967</v>
      </c>
      <c r="D146" s="4">
        <v>9.11786084111999</v>
      </c>
      <c r="E146" s="4">
        <v>2.9243253923988011</v>
      </c>
      <c r="F146" s="4">
        <v>17.281706537332042</v>
      </c>
      <c r="G146" s="4">
        <v>1.8042142884408527</v>
      </c>
      <c r="H146" s="4">
        <v>83.915404395057521</v>
      </c>
      <c r="I146" s="4">
        <v>12.007560841649729</v>
      </c>
      <c r="J146" s="4">
        <v>1.2937163138180037</v>
      </c>
      <c r="K146" s="4">
        <v>13.804471024888025</v>
      </c>
      <c r="L146" s="4">
        <v>36.994326276360077</v>
      </c>
    </row>
    <row r="147" spans="1:12">
      <c r="A147" s="5">
        <v>45838</v>
      </c>
      <c r="B147" t="s">
        <v>109</v>
      </c>
      <c r="C147" s="4">
        <v>13.211784123755518</v>
      </c>
      <c r="D147" s="4">
        <v>9.1349119548641831</v>
      </c>
      <c r="E147" s="4">
        <v>2.8060480006221846</v>
      </c>
      <c r="F147" s="4">
        <v>16.032316918164049</v>
      </c>
      <c r="G147" s="4">
        <v>2.9250319963866436</v>
      </c>
      <c r="H147" s="4">
        <v>83.772993895555885</v>
      </c>
      <c r="I147" s="4">
        <v>10.802715985396038</v>
      </c>
      <c r="J147" s="4">
        <v>1.1158260296371521</v>
      </c>
      <c r="K147" s="4">
        <v>13.554877945442698</v>
      </c>
      <c r="L147" s="4">
        <v>35.036520592743045</v>
      </c>
    </row>
    <row r="148" spans="1:12">
      <c r="A148" s="5">
        <v>45930</v>
      </c>
      <c r="B148" t="s">
        <v>102</v>
      </c>
      <c r="C148" s="4">
        <v>10.441169003602148</v>
      </c>
      <c r="D148" s="4">
        <v>8.240445788202825</v>
      </c>
      <c r="E148" s="4">
        <v>2.7556174705837257</v>
      </c>
      <c r="F148" s="4">
        <v>14.672438670115442</v>
      </c>
      <c r="G148" s="4">
        <v>1.9301461254502685</v>
      </c>
      <c r="H148" s="4">
        <v>73.112349411674515</v>
      </c>
      <c r="I148" s="4">
        <v>11.141120008059866</v>
      </c>
      <c r="J148" s="4">
        <v>1.133621933505772</v>
      </c>
      <c r="K148" s="4">
        <v>13.114959113410295</v>
      </c>
      <c r="L148" s="4">
        <v>36.67243867011544</v>
      </c>
    </row>
    <row r="149" spans="1:12">
      <c r="A149" s="5">
        <v>45930</v>
      </c>
      <c r="B149" t="s">
        <v>103</v>
      </c>
      <c r="C149" s="4">
        <v>12.133641566904886</v>
      </c>
      <c r="D149" s="4">
        <v>8.8001381363846178</v>
      </c>
      <c r="E149" s="4">
        <v>2.9676149186074023</v>
      </c>
      <c r="F149" s="4">
        <v>18.665267905271211</v>
      </c>
      <c r="G149" s="4">
        <v>2.164246649679697</v>
      </c>
      <c r="H149" s="4">
        <v>75.605378626684313</v>
      </c>
      <c r="I149" s="4">
        <v>10.843197504692071</v>
      </c>
      <c r="J149" s="4">
        <v>1.1709463494549801</v>
      </c>
      <c r="K149" s="4">
        <v>14.376845270180807</v>
      </c>
      <c r="L149" s="4">
        <v>33.578926989099607</v>
      </c>
    </row>
    <row r="150" spans="1:12">
      <c r="A150" s="5">
        <v>45930</v>
      </c>
      <c r="B150" t="s">
        <v>104</v>
      </c>
      <c r="C150" s="4">
        <v>13.030239976175631</v>
      </c>
      <c r="D150" s="4">
        <v>9.0315852972762016</v>
      </c>
      <c r="E150" s="4">
        <v>3.2457799970219541</v>
      </c>
      <c r="F150" s="4">
        <v>19.693101487014594</v>
      </c>
      <c r="G150" s="4">
        <v>2.2473395616558456</v>
      </c>
      <c r="H150" s="4">
        <v>77.672298372148049</v>
      </c>
      <c r="I150" s="4">
        <v>10.841075725336863</v>
      </c>
      <c r="J150" s="4">
        <v>1.2653100043191516</v>
      </c>
      <c r="K150" s="4">
        <v>14.595400991343062</v>
      </c>
      <c r="L150" s="4">
        <v>34.186200086383032</v>
      </c>
    </row>
    <row r="151" spans="1:12">
      <c r="A151" s="5">
        <v>45930</v>
      </c>
      <c r="B151" t="s">
        <v>105</v>
      </c>
      <c r="C151" s="4">
        <v>13.300088147561235</v>
      </c>
      <c r="D151" s="4">
        <v>9.0335335718100804</v>
      </c>
      <c r="E151" s="4">
        <v>3.4024999941936849</v>
      </c>
      <c r="F151" s="4">
        <v>18.618926989099609</v>
      </c>
      <c r="G151" s="4">
        <v>2.1030296213104394</v>
      </c>
      <c r="H151" s="4">
        <v>79.402922509005364</v>
      </c>
      <c r="I151" s="4">
        <v>11.420584501801073</v>
      </c>
      <c r="J151" s="4">
        <v>1.3867312045270066</v>
      </c>
      <c r="K151" s="4">
        <v>14.112617992733073</v>
      </c>
      <c r="L151" s="4">
        <v>37.254624090540133</v>
      </c>
    </row>
    <row r="152" spans="1:12">
      <c r="A152" s="5">
        <v>45930</v>
      </c>
      <c r="B152" t="s">
        <v>106</v>
      </c>
      <c r="C152" s="4">
        <v>13.413973197437578</v>
      </c>
      <c r="D152" s="4">
        <v>9.0519186039969775</v>
      </c>
      <c r="E152" s="4">
        <v>3.3316217781558728</v>
      </c>
      <c r="F152" s="4">
        <v>17.472927214741969</v>
      </c>
      <c r="G152" s="4">
        <v>2.7639947222776575</v>
      </c>
      <c r="H152" s="4">
        <v>81.275599940439079</v>
      </c>
      <c r="I152" s="4">
        <v>12.206986598718789</v>
      </c>
      <c r="J152" s="4">
        <v>1.455187950804723</v>
      </c>
      <c r="K152" s="4">
        <v>13.698618143161315</v>
      </c>
      <c r="L152" s="4">
        <v>39.583759016094461</v>
      </c>
    </row>
    <row r="153" spans="1:12">
      <c r="A153" s="5">
        <v>45930</v>
      </c>
      <c r="B153" t="s">
        <v>107</v>
      </c>
      <c r="C153" s="4">
        <v>13.646161758023011</v>
      </c>
      <c r="D153" s="4">
        <v>9.2300274139732945</v>
      </c>
      <c r="E153" s="4">
        <v>3.1012122198845478</v>
      </c>
      <c r="F153" s="4">
        <v>17.449157489303591</v>
      </c>
      <c r="G153" s="4">
        <v>1.7500024483623242</v>
      </c>
      <c r="H153" s="4">
        <v>83.284932993593941</v>
      </c>
      <c r="I153" s="4">
        <v>12.489358246623382</v>
      </c>
      <c r="J153" s="4">
        <v>1.4101595646811171</v>
      </c>
      <c r="K153" s="4">
        <v>13.799438326202395</v>
      </c>
      <c r="L153" s="4">
        <v>39.003191293622336</v>
      </c>
    </row>
    <row r="154" spans="1:12">
      <c r="A154" s="5">
        <v>45930</v>
      </c>
      <c r="B154" t="s">
        <v>108</v>
      </c>
      <c r="C154" s="4">
        <v>13.775999953549478</v>
      </c>
      <c r="D154" s="4">
        <v>9.4587660233242516</v>
      </c>
      <c r="E154" s="4">
        <v>2.8880760600070827</v>
      </c>
      <c r="F154" s="4">
        <v>17.706200086383035</v>
      </c>
      <c r="G154" s="4">
        <v>1.8658567704998912</v>
      </c>
      <c r="H154" s="4">
        <v>84.489999883873693</v>
      </c>
      <c r="I154" s="4">
        <v>11.862118485241757</v>
      </c>
      <c r="J154" s="4">
        <v>1.2638509828165532</v>
      </c>
      <c r="K154" s="4">
        <v>14.087466724255357</v>
      </c>
      <c r="L154" s="4">
        <v>36.397019656331061</v>
      </c>
    </row>
    <row r="155" spans="1:12">
      <c r="A155" s="5">
        <v>45930</v>
      </c>
      <c r="B155" t="s">
        <v>109</v>
      </c>
      <c r="C155" s="4">
        <v>13.389197558222353</v>
      </c>
      <c r="D155" s="4">
        <v>9.527022003305575</v>
      </c>
      <c r="E155" s="4">
        <v>2.829136956327893</v>
      </c>
      <c r="F155" s="4">
        <v>16.571723744091209</v>
      </c>
      <c r="G155" s="4">
        <v>3.0050417592066601</v>
      </c>
      <c r="H155" s="4">
        <v>83.746791233116909</v>
      </c>
      <c r="I155" s="4">
        <v>10.65597888911063</v>
      </c>
      <c r="J155" s="4">
        <v>1.1015836867580791</v>
      </c>
      <c r="K155" s="4">
        <v>13.914482496060804</v>
      </c>
      <c r="L155" s="4">
        <v>34.751673735161582</v>
      </c>
    </row>
    <row r="156" spans="1:12">
      <c r="A156" s="5">
        <v>46022</v>
      </c>
      <c r="B156" t="s">
        <v>102</v>
      </c>
      <c r="C156" s="4">
        <v>11.100254019764346</v>
      </c>
      <c r="D156" s="4">
        <v>8.2012729798443189</v>
      </c>
      <c r="E156" s="4">
        <v>2.7501768027561555</v>
      </c>
      <c r="F156" s="4">
        <v>14.164426327171842</v>
      </c>
      <c r="G156" s="4">
        <v>2.0125317524705433</v>
      </c>
      <c r="H156" s="4">
        <v>73.003536055123107</v>
      </c>
      <c r="I156" s="4">
        <v>10.974928614204831</v>
      </c>
      <c r="J156" s="4">
        <v>1.1082213163585921</v>
      </c>
      <c r="K156" s="4">
        <v>12.776284218114561</v>
      </c>
      <c r="L156" s="4">
        <v>36.164426327171846</v>
      </c>
    </row>
    <row r="157" spans="1:12">
      <c r="A157" s="5">
        <v>46022</v>
      </c>
      <c r="B157" t="s">
        <v>103</v>
      </c>
      <c r="C157" s="4">
        <v>12.791323236418322</v>
      </c>
      <c r="D157" s="4">
        <v>8.8505744750767228</v>
      </c>
      <c r="E157" s="4">
        <v>3.0169302306251855</v>
      </c>
      <c r="F157" s="4">
        <v>18.289060585362428</v>
      </c>
      <c r="G157" s="4">
        <v>2.2168742174047016</v>
      </c>
      <c r="H157" s="4">
        <v>76.105327532867051</v>
      </c>
      <c r="I157" s="4">
        <v>10.74524739276116</v>
      </c>
      <c r="J157" s="4">
        <v>1.1705753086746238</v>
      </c>
      <c r="K157" s="4">
        <v>14.126040390241618</v>
      </c>
      <c r="L157" s="4">
        <v>33.57150617349248</v>
      </c>
    </row>
    <row r="158" spans="1:12">
      <c r="A158" s="5">
        <v>46022</v>
      </c>
      <c r="B158" t="s">
        <v>104</v>
      </c>
      <c r="C158" s="4">
        <v>13.645626838259359</v>
      </c>
      <c r="D158" s="4">
        <v>9.1696200453563321</v>
      </c>
      <c r="E158" s="4">
        <v>3.3045110184451545</v>
      </c>
      <c r="F158" s="4">
        <v>19.490114389553682</v>
      </c>
      <c r="G158" s="4">
        <v>2.2218235270236737</v>
      </c>
      <c r="H158" s="4">
        <v>78.658604612503709</v>
      </c>
      <c r="I158" s="4">
        <v>10.901421776519271</v>
      </c>
      <c r="J158" s="4">
        <v>1.2903096730879362</v>
      </c>
      <c r="K158" s="4">
        <v>14.460076259702454</v>
      </c>
      <c r="L158" s="4">
        <v>34.686193461758727</v>
      </c>
    </row>
    <row r="159" spans="1:12">
      <c r="A159" s="5">
        <v>46022</v>
      </c>
      <c r="B159" t="s">
        <v>105</v>
      </c>
      <c r="C159" s="4">
        <v>13.834918427708718</v>
      </c>
      <c r="D159" s="4">
        <v>9.2536637194661182</v>
      </c>
      <c r="E159" s="4">
        <v>3.416649694777794</v>
      </c>
      <c r="F159" s="4">
        <v>18.611506173492479</v>
      </c>
      <c r="G159" s="4">
        <v>2.0228293088886877</v>
      </c>
      <c r="H159" s="4">
        <v>80.634103917262209</v>
      </c>
      <c r="I159" s="4">
        <v>11.583744834939768</v>
      </c>
      <c r="J159" s="4">
        <v>1.414117002670791</v>
      </c>
      <c r="K159" s="4">
        <v>14.10767078232832</v>
      </c>
      <c r="L159" s="4">
        <v>37.802340053415826</v>
      </c>
    </row>
    <row r="160" spans="1:12">
      <c r="A160" s="5">
        <v>46022</v>
      </c>
      <c r="B160" t="s">
        <v>106</v>
      </c>
      <c r="C160" s="4">
        <v>13.834993739237611</v>
      </c>
      <c r="D160" s="4">
        <v>9.345368256902729</v>
      </c>
      <c r="E160" s="4">
        <v>3.2881809884385484</v>
      </c>
      <c r="F160" s="4">
        <v>17.661889609692327</v>
      </c>
      <c r="G160" s="4">
        <v>2.702845929444194</v>
      </c>
      <c r="H160" s="4">
        <v>82.450220368903089</v>
      </c>
      <c r="I160" s="4">
        <v>12.322952355978483</v>
      </c>
      <c r="J160" s="4">
        <v>1.4597815018061908</v>
      </c>
      <c r="K160" s="4">
        <v>13.82459307312822</v>
      </c>
      <c r="L160" s="4">
        <v>39.675630036123813</v>
      </c>
    </row>
    <row r="161" spans="1:12">
      <c r="A161" s="5">
        <v>46022</v>
      </c>
      <c r="B161" t="s">
        <v>107</v>
      </c>
      <c r="C161" s="4">
        <v>13.927195543366324</v>
      </c>
      <c r="D161" s="4">
        <v>9.5850976605013347</v>
      </c>
      <c r="E161" s="4">
        <v>3.0401202015944317</v>
      </c>
      <c r="F161" s="4">
        <v>17.813700960311941</v>
      </c>
      <c r="G161" s="4">
        <v>1.7641250932461288</v>
      </c>
      <c r="H161" s="4">
        <v>84.115404395057524</v>
      </c>
      <c r="I161" s="4">
        <v>12.451511045583</v>
      </c>
      <c r="J161" s="4">
        <v>1.3877375789337643</v>
      </c>
      <c r="K161" s="4">
        <v>14.042467306874627</v>
      </c>
      <c r="L161" s="4">
        <v>38.55475157867528</v>
      </c>
    </row>
    <row r="162" spans="1:12">
      <c r="A162" s="5">
        <v>46022</v>
      </c>
      <c r="B162" t="s">
        <v>108</v>
      </c>
      <c r="C162" s="4">
        <v>13.899573662828443</v>
      </c>
      <c r="D162" s="4">
        <v>9.8613013332344668</v>
      </c>
      <c r="E162" s="4">
        <v>2.8655005330198304</v>
      </c>
      <c r="F162" s="4">
        <v>18.20619346175873</v>
      </c>
      <c r="G162" s="4">
        <v>1.9422665585247076</v>
      </c>
      <c r="H162" s="4">
        <v>84.772993895555885</v>
      </c>
      <c r="I162" s="4">
        <v>11.705254867996517</v>
      </c>
      <c r="J162" s="4">
        <v>1.2350281306122108</v>
      </c>
      <c r="K162" s="4">
        <v>14.420795641172486</v>
      </c>
      <c r="L162" s="4">
        <v>35.820562612244217</v>
      </c>
    </row>
    <row r="163" spans="1:12">
      <c r="A163" s="5">
        <v>46022</v>
      </c>
      <c r="B163" t="s">
        <v>109</v>
      </c>
      <c r="C163" s="4">
        <v>13.347627976713538</v>
      </c>
      <c r="D163" s="4">
        <v>9.9609745640654683</v>
      </c>
      <c r="E163" s="4">
        <v>2.8658337560432074</v>
      </c>
      <c r="F163" s="4">
        <v>17.152124699428082</v>
      </c>
      <c r="G163" s="4">
        <v>3.0734878836442636</v>
      </c>
      <c r="H163" s="4">
        <v>83.413021051196694</v>
      </c>
      <c r="I163" s="4">
        <v>10.52431854194217</v>
      </c>
      <c r="J163" s="4">
        <v>1.0928595654900262</v>
      </c>
      <c r="K163" s="4">
        <v>14.301416466285387</v>
      </c>
      <c r="L163" s="4">
        <v>34.577191309800526</v>
      </c>
    </row>
    <row r="164" spans="1:12">
      <c r="A164" s="5">
        <v>46112</v>
      </c>
      <c r="B164" t="s">
        <v>102</v>
      </c>
      <c r="C164" s="4">
        <v>11.74830246114244</v>
      </c>
      <c r="D164" s="4">
        <v>8.2739363056063517</v>
      </c>
      <c r="E164" s="4">
        <v>2.7602689313342155</v>
      </c>
      <c r="F164" s="4">
        <v>13.729592514076217</v>
      </c>
      <c r="G164" s="4">
        <v>2.0935378076428051</v>
      </c>
      <c r="H164" s="4">
        <v>73.205378626684308</v>
      </c>
      <c r="I164" s="4">
        <v>10.809432037124514</v>
      </c>
      <c r="J164" s="4">
        <v>1.0864796257038107</v>
      </c>
      <c r="K164" s="4">
        <v>12.486395009384143</v>
      </c>
      <c r="L164" s="4">
        <v>35.729592514076217</v>
      </c>
    </row>
    <row r="165" spans="1:12">
      <c r="A165" s="5">
        <v>46112</v>
      </c>
      <c r="B165" t="s">
        <v>103</v>
      </c>
      <c r="C165" s="4">
        <v>13.383908432636725</v>
      </c>
      <c r="D165" s="4">
        <v>9.0097816197037233</v>
      </c>
      <c r="E165" s="4">
        <v>3.0741461254502687</v>
      </c>
      <c r="F165" s="4">
        <v>18.012956496187716</v>
      </c>
      <c r="G165" s="4">
        <v>2.2456269467465932</v>
      </c>
      <c r="H165" s="4">
        <v>76.872298372148052</v>
      </c>
      <c r="I165" s="4">
        <v>10.670985498729237</v>
      </c>
      <c r="J165" s="4">
        <v>1.1761613588005291</v>
      </c>
      <c r="K165" s="4">
        <v>13.941970997458476</v>
      </c>
      <c r="L165" s="4">
        <v>33.68322717601059</v>
      </c>
    </row>
    <row r="166" spans="1:12">
      <c r="A166" s="5">
        <v>46112</v>
      </c>
      <c r="B166" t="s">
        <v>104</v>
      </c>
      <c r="C166" s="4">
        <v>14.145904711956966</v>
      </c>
      <c r="D166" s="4">
        <v>9.4090239223992231</v>
      </c>
      <c r="E166" s="4">
        <v>3.3562466496796972</v>
      </c>
      <c r="F166" s="4">
        <v>19.403135248706214</v>
      </c>
      <c r="G166" s="4">
        <v>2.1718878037782652</v>
      </c>
      <c r="H166" s="4">
        <v>79.80292250900537</v>
      </c>
      <c r="I166" s="4">
        <v>10.986670608432421</v>
      </c>
      <c r="J166" s="4">
        <v>1.3180876752701609</v>
      </c>
      <c r="K166" s="4">
        <v>14.402090165804141</v>
      </c>
      <c r="L166" s="4">
        <v>35.241753505403224</v>
      </c>
    </row>
    <row r="167" spans="1:12">
      <c r="A167" s="5">
        <v>46112</v>
      </c>
      <c r="B167" t="s">
        <v>105</v>
      </c>
      <c r="C167" s="4">
        <v>14.211784123755518</v>
      </c>
      <c r="D167" s="4">
        <v>9.5637200518298204</v>
      </c>
      <c r="E167" s="4">
        <v>3.4153395616558457</v>
      </c>
      <c r="F167" s="4">
        <v>18.723227176010585</v>
      </c>
      <c r="G167" s="4">
        <v>1.9401158067174207</v>
      </c>
      <c r="H167" s="4">
        <v>81.875599940439074</v>
      </c>
      <c r="I167" s="4">
        <v>11.750127009882172</v>
      </c>
      <c r="J167" s="4">
        <v>1.4385479898078182</v>
      </c>
      <c r="K167" s="4">
        <v>14.182151450673725</v>
      </c>
      <c r="L167" s="4">
        <v>38.290959796156365</v>
      </c>
    </row>
    <row r="168" spans="1:12">
      <c r="A168" s="5">
        <v>46112</v>
      </c>
      <c r="B168" t="s">
        <v>106</v>
      </c>
      <c r="C168" s="4">
        <v>14.065015573972746</v>
      </c>
      <c r="D168" s="4">
        <v>9.7137160770552367</v>
      </c>
      <c r="E168" s="4">
        <v>3.2350296213104395</v>
      </c>
      <c r="F168" s="4">
        <v>17.960011825297258</v>
      </c>
      <c r="G168" s="4">
        <v>2.6634010607904726</v>
      </c>
      <c r="H168" s="4">
        <v>83.484932993593944</v>
      </c>
      <c r="I168" s="4">
        <v>12.417496869618807</v>
      </c>
      <c r="J168" s="4">
        <v>1.4584037369935072</v>
      </c>
      <c r="K168" s="4">
        <v>14.023341216864841</v>
      </c>
      <c r="L168" s="4">
        <v>39.648074739870147</v>
      </c>
    </row>
    <row r="169" spans="1:12">
      <c r="A169" s="5">
        <v>46112</v>
      </c>
      <c r="B169" t="s">
        <v>107</v>
      </c>
      <c r="C169" s="4">
        <v>13.996071873198616</v>
      </c>
      <c r="D169" s="4">
        <v>9.9970521032419342</v>
      </c>
      <c r="E169" s="4">
        <v>2.9839947222776577</v>
      </c>
      <c r="F169" s="4">
        <v>18.265405274767073</v>
      </c>
      <c r="G169" s="4">
        <v>1.8042142884408527</v>
      </c>
      <c r="H169" s="4">
        <v>84.689999883873696</v>
      </c>
      <c r="I169" s="4">
        <v>12.387294108094695</v>
      </c>
      <c r="J169" s="4">
        <v>1.3618177727862635</v>
      </c>
      <c r="K169" s="4">
        <v>14.343603516511383</v>
      </c>
      <c r="L169" s="4">
        <v>38.036355455725264</v>
      </c>
    </row>
    <row r="170" spans="1:12">
      <c r="A170" s="5">
        <v>46112</v>
      </c>
      <c r="B170" t="s">
        <v>108</v>
      </c>
      <c r="C170" s="4">
        <v>13.803022091166001</v>
      </c>
      <c r="D170" s="4">
        <v>10.300439074928505</v>
      </c>
      <c r="E170" s="4">
        <v>2.8580024483623241</v>
      </c>
      <c r="F170" s="4">
        <v>18.761753505403224</v>
      </c>
      <c r="G170" s="4">
        <v>2.0250319963866437</v>
      </c>
      <c r="H170" s="4">
        <v>84.746791233116909</v>
      </c>
      <c r="I170" s="4">
        <v>11.541317235554748</v>
      </c>
      <c r="J170" s="4">
        <v>1.2083968333665946</v>
      </c>
      <c r="K170" s="4">
        <v>14.791169003602148</v>
      </c>
      <c r="L170" s="4">
        <v>35.287936667331891</v>
      </c>
    </row>
    <row r="171" spans="1:12">
      <c r="A171" s="5">
        <v>46112</v>
      </c>
      <c r="B171" t="s">
        <v>109</v>
      </c>
      <c r="C171" s="4">
        <v>13.091651612642396</v>
      </c>
      <c r="D171" s="4">
        <v>10.409788568730887</v>
      </c>
      <c r="E171" s="4">
        <v>2.9138567704998914</v>
      </c>
      <c r="F171" s="4">
        <v>17.750381029646523</v>
      </c>
      <c r="G171" s="4">
        <v>3.1228354022955203</v>
      </c>
      <c r="H171" s="4">
        <v>82.792435563117451</v>
      </c>
      <c r="I171" s="4">
        <v>10.411383717776776</v>
      </c>
      <c r="J171" s="4">
        <v>1.0900014690173945</v>
      </c>
      <c r="K171" s="4">
        <v>14.700254019764348</v>
      </c>
      <c r="L171" s="4">
        <v>34.520029380347893</v>
      </c>
    </row>
    <row r="172" spans="1:12">
      <c r="A172" s="5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>
      <c r="A173" s="5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>
      <c r="A174" s="5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>
      <c r="A175" s="5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>
      <c r="A176" s="5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>
      <c r="A177" s="5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>
      <c r="A178" s="5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>
      <c r="A179" s="5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>
      <c r="A180" s="5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>
      <c r="A181" s="5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>
      <c r="A182" s="5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>
      <c r="A183" s="5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>
      <c r="A184" s="5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>
      <c r="A185" s="5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>
      <c r="A186" s="5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>
      <c r="A187" s="5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>
      <c r="A188" s="5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>
      <c r="A189" s="5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>
      <c r="A190" s="5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1:12">
      <c r="A191" s="5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>
      <c r="A192" s="5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>
      <c r="A193" s="5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>
      <c r="A194" s="5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>
      <c r="A195" s="5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>
      <c r="A196" s="5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>
      <c r="A197" s="5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>
      <c r="A198" s="5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>
      <c r="A199" s="5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>
      <c r="A200" s="5"/>
      <c r="C200" s="4"/>
      <c r="D200" s="4"/>
      <c r="E200" s="4"/>
      <c r="F200" s="4"/>
      <c r="G200" s="4"/>
      <c r="H200" s="4"/>
      <c r="I200" s="4"/>
      <c r="J200" s="4"/>
      <c r="K200" s="4"/>
      <c r="L200" s="4"/>
    </row>
  </sheetData>
  <mergeCells count="1">
    <mergeCell ref="A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7"/>
  <sheetViews>
    <sheetView workbookViewId="0">
      <selection activeCell="S17" sqref="S17"/>
    </sheetView>
  </sheetViews>
  <sheetFormatPr defaultRowHeight="14.25"/>
  <cols>
    <col min="1" max="1" width="10.125" bestFit="1" customWidth="1"/>
    <col min="2" max="2" width="7.375" bestFit="1" customWidth="1"/>
    <col min="3" max="3" width="10" customWidth="1"/>
    <col min="4" max="4" width="9.375" bestFit="1" customWidth="1"/>
    <col min="5" max="5" width="12.375" customWidth="1"/>
    <col min="6" max="6" width="5.375" bestFit="1" customWidth="1"/>
    <col min="7" max="7" width="4.375" bestFit="1" customWidth="1"/>
    <col min="8" max="8" width="8.75" customWidth="1"/>
    <col min="9" max="9" width="11.125" customWidth="1"/>
    <col min="10" max="10" width="5.375" bestFit="1" customWidth="1"/>
    <col min="11" max="11" width="4.375" bestFit="1" customWidth="1"/>
    <col min="12" max="12" width="15.25" customWidth="1"/>
    <col min="13" max="13" width="5.375" bestFit="1" customWidth="1"/>
    <col min="14" max="14" width="6.375" bestFit="1" customWidth="1"/>
    <col min="15" max="15" width="4.375" bestFit="1" customWidth="1"/>
    <col min="16" max="16" width="5.375" bestFit="1" customWidth="1"/>
  </cols>
  <sheetData>
    <row r="1" spans="1:16" ht="27.95" customHeight="1">
      <c r="A1" s="10" t="s">
        <v>110</v>
      </c>
      <c r="B1" s="10" t="s">
        <v>110</v>
      </c>
      <c r="C1" s="10" t="s">
        <v>110</v>
      </c>
      <c r="D1" s="10" t="s">
        <v>110</v>
      </c>
      <c r="E1" s="10" t="s">
        <v>110</v>
      </c>
      <c r="F1" s="10" t="s">
        <v>110</v>
      </c>
      <c r="G1" s="10" t="s">
        <v>110</v>
      </c>
      <c r="H1" s="10" t="s">
        <v>110</v>
      </c>
      <c r="I1" s="10" t="s">
        <v>110</v>
      </c>
      <c r="J1" s="10" t="s">
        <v>110</v>
      </c>
      <c r="K1" s="10" t="s">
        <v>110</v>
      </c>
      <c r="L1" s="10" t="s">
        <v>110</v>
      </c>
      <c r="M1" s="10" t="s">
        <v>110</v>
      </c>
      <c r="N1" s="10" t="s">
        <v>110</v>
      </c>
      <c r="O1" s="10" t="s">
        <v>110</v>
      </c>
    </row>
    <row r="3" spans="1:16" ht="25.5">
      <c r="A3" s="3" t="s">
        <v>75</v>
      </c>
      <c r="B3" s="3" t="s">
        <v>111</v>
      </c>
      <c r="C3" s="3" t="s">
        <v>93</v>
      </c>
      <c r="D3" s="3" t="s">
        <v>112</v>
      </c>
      <c r="E3" s="3" t="s">
        <v>90</v>
      </c>
      <c r="F3" s="3" t="s">
        <v>95</v>
      </c>
      <c r="G3" s="3" t="s">
        <v>94</v>
      </c>
      <c r="H3" s="3" t="s">
        <v>113</v>
      </c>
      <c r="I3" s="3" t="s">
        <v>114</v>
      </c>
      <c r="J3" s="3" t="s">
        <v>97</v>
      </c>
      <c r="K3" s="3" t="s">
        <v>96</v>
      </c>
      <c r="L3" s="3" t="s">
        <v>115</v>
      </c>
      <c r="M3" s="3" t="s">
        <v>101</v>
      </c>
      <c r="N3" s="3" t="s">
        <v>116</v>
      </c>
      <c r="O3" s="3" t="s">
        <v>99</v>
      </c>
      <c r="P3" s="3" t="s">
        <v>100</v>
      </c>
    </row>
    <row r="4" spans="1:16">
      <c r="A4" s="5">
        <v>44227</v>
      </c>
      <c r="B4" s="6">
        <v>86000</v>
      </c>
      <c r="C4" s="4">
        <v>9</v>
      </c>
      <c r="D4" s="4">
        <v>98000</v>
      </c>
      <c r="E4" s="4">
        <v>10.482941969615794</v>
      </c>
      <c r="F4" s="4">
        <v>14</v>
      </c>
      <c r="G4" s="4">
        <v>3.05</v>
      </c>
      <c r="H4" s="4">
        <v>7.8</v>
      </c>
      <c r="I4" s="4">
        <v>4.9103677462019739</v>
      </c>
      <c r="J4" s="4">
        <v>87.755102040816325</v>
      </c>
      <c r="K4" s="4">
        <v>2</v>
      </c>
      <c r="L4" s="4">
        <v>81.731767878463174</v>
      </c>
      <c r="M4" s="4">
        <v>42</v>
      </c>
      <c r="N4" s="4">
        <v>120</v>
      </c>
      <c r="O4" s="4">
        <v>0.8</v>
      </c>
      <c r="P4" s="4">
        <v>10.5</v>
      </c>
    </row>
    <row r="5" spans="1:16">
      <c r="A5" s="5">
        <v>44255</v>
      </c>
      <c r="B5" s="6">
        <v>87148.003996192594</v>
      </c>
      <c r="C5" s="4">
        <v>9.2439417827218957</v>
      </c>
      <c r="D5" s="4">
        <v>98979.075359232098</v>
      </c>
      <c r="E5" s="4">
        <v>10.604535188198192</v>
      </c>
      <c r="F5" s="4">
        <v>14.199666833293657</v>
      </c>
      <c r="G5" s="4">
        <v>3.0855929324480655</v>
      </c>
      <c r="H5" s="4">
        <v>7.8311686833463066</v>
      </c>
      <c r="I5" s="4">
        <v>4.9298612448134387</v>
      </c>
      <c r="J5" s="4">
        <v>88.046896457559214</v>
      </c>
      <c r="K5" s="4">
        <v>2.0436361566848298</v>
      </c>
      <c r="L5" s="4">
        <v>82.12965888049149</v>
      </c>
      <c r="M5" s="4">
        <v>42.374024200155681</v>
      </c>
      <c r="N5" s="4">
        <v>126.31792265386829</v>
      </c>
      <c r="O5" s="4">
        <v>0.81423717297922638</v>
      </c>
      <c r="P5" s="4">
        <v>10.713557594688396</v>
      </c>
    </row>
    <row r="6" spans="1:16">
      <c r="A6" s="5">
        <v>44286</v>
      </c>
      <c r="B6" s="6">
        <v>88284.127513462969</v>
      </c>
      <c r="C6" s="4">
        <v>9.4848750356034692</v>
      </c>
      <c r="D6" s="4">
        <v>99952.633636155384</v>
      </c>
      <c r="E6" s="4">
        <v>10.697969238711174</v>
      </c>
      <c r="F6" s="4">
        <v>14.397338661590123</v>
      </c>
      <c r="G6" s="4">
        <v>3.1204607130305524</v>
      </c>
      <c r="H6" s="4">
        <v>7.8618509898136306</v>
      </c>
      <c r="I6" s="4">
        <v>4.9429844753408281</v>
      </c>
      <c r="J6" s="4">
        <v>88.32596431108783</v>
      </c>
      <c r="K6" s="4">
        <v>2.0865913857390832</v>
      </c>
      <c r="L6" s="4">
        <v>82.456312687737807</v>
      </c>
      <c r="M6" s="4">
        <v>42.742211877763566</v>
      </c>
      <c r="N6" s="4">
        <v>132.54389393592305</v>
      </c>
      <c r="O6" s="4">
        <v>0.82818428521222098</v>
      </c>
      <c r="P6" s="4">
        <v>10.922764278183315</v>
      </c>
    </row>
    <row r="7" spans="1:16">
      <c r="A7" s="5">
        <v>44316</v>
      </c>
      <c r="B7" s="6">
        <v>89396.963710092547</v>
      </c>
      <c r="C7" s="4">
        <v>9.7198283329515345</v>
      </c>
      <c r="D7" s="4">
        <v>100915.31064632504</v>
      </c>
      <c r="E7" s="4">
        <v>10.761786114046313</v>
      </c>
      <c r="F7" s="4">
        <v>14.591040413322679</v>
      </c>
      <c r="G7" s="4">
        <v>3.1538929637482629</v>
      </c>
      <c r="H7" s="4">
        <v>7.8915681322715114</v>
      </c>
      <c r="I7" s="4">
        <v>4.9493737466510135</v>
      </c>
      <c r="J7" s="4">
        <v>88.586125472476112</v>
      </c>
      <c r="K7" s="4">
        <v>2.1281953851801165</v>
      </c>
      <c r="L7" s="4">
        <v>82.708465483337548</v>
      </c>
      <c r="M7" s="4">
        <v>43.098817587258139</v>
      </c>
      <c r="N7" s="4">
        <v>138.58851077208405</v>
      </c>
      <c r="O7" s="4">
        <v>0.84155718549930525</v>
      </c>
      <c r="P7" s="4">
        <v>11.123357782489578</v>
      </c>
    </row>
    <row r="8" spans="1:16">
      <c r="A8" s="5">
        <v>44347</v>
      </c>
      <c r="B8" s="6">
        <v>90476.034136349277</v>
      </c>
      <c r="C8" s="4">
        <v>9.9459039997623826</v>
      </c>
      <c r="D8" s="4">
        <v>101862.04376368369</v>
      </c>
      <c r="E8" s="4">
        <v>10.794989973208109</v>
      </c>
      <c r="F8" s="4">
        <v>14.778836684617302</v>
      </c>
      <c r="G8" s="4">
        <v>3.1852085533397076</v>
      </c>
      <c r="H8" s="4">
        <v>7.9198563846510508</v>
      </c>
      <c r="I8" s="4">
        <v>4.9488519894379417</v>
      </c>
      <c r="J8" s="4">
        <v>88.82212725502589</v>
      </c>
      <c r="K8" s="4">
        <v>2.1677989385114711</v>
      </c>
      <c r="L8" s="4">
        <v>82.883597839907679</v>
      </c>
      <c r="M8" s="4">
        <v>43.438276615812612</v>
      </c>
      <c r="N8" s="4">
        <v>144.36739606139474</v>
      </c>
      <c r="O8" s="4">
        <v>0.85408342133588322</v>
      </c>
      <c r="P8" s="4">
        <v>11.311251320038247</v>
      </c>
    </row>
    <row r="9" spans="1:16">
      <c r="A9" s="5">
        <v>44377</v>
      </c>
      <c r="B9" s="6">
        <v>91512.206477211847</v>
      </c>
      <c r="C9" s="4">
        <v>10.160313848698104</v>
      </c>
      <c r="D9" s="4">
        <v>102788.21222383525</v>
      </c>
      <c r="E9" s="4">
        <v>10.797062681079664</v>
      </c>
      <c r="F9" s="4">
        <v>14.958851077208406</v>
      </c>
      <c r="G9" s="4">
        <v>3.2137694742946294</v>
      </c>
      <c r="H9" s="4">
        <v>7.9462743182351154</v>
      </c>
      <c r="I9" s="4">
        <v>4.9414336634393754</v>
      </c>
      <c r="J9" s="4">
        <v>89.029864901173326</v>
      </c>
      <c r="K9" s="4">
        <v>2.2047840455291619</v>
      </c>
      <c r="L9" s="4">
        <v>82.97995989283244</v>
      </c>
      <c r="M9" s="4">
        <v>43.755291818821384</v>
      </c>
      <c r="N9" s="4">
        <v>149.80353706392074</v>
      </c>
      <c r="O9" s="4">
        <v>0.86550778971785192</v>
      </c>
      <c r="P9" s="4">
        <v>11.482616845767778</v>
      </c>
    </row>
    <row r="10" spans="1:16">
      <c r="A10" s="5">
        <v>44408</v>
      </c>
      <c r="B10" s="6">
        <v>92498.058628950836</v>
      </c>
      <c r="C10" s="4">
        <v>10.360413566753422</v>
      </c>
      <c r="D10" s="4">
        <v>103689.76518176947</v>
      </c>
      <c r="E10" s="4">
        <v>10.767971893747875</v>
      </c>
      <c r="F10" s="4">
        <v>15.129284946790071</v>
      </c>
      <c r="G10" s="4">
        <v>3.2389938412866828</v>
      </c>
      <c r="H10" s="4">
        <v>7.970409690005833</v>
      </c>
      <c r="I10" s="4">
        <v>4.9273243567064204</v>
      </c>
      <c r="J10" s="4">
        <v>89.20654653504188</v>
      </c>
      <c r="K10" s="4">
        <v>2.2385735660081671</v>
      </c>
      <c r="L10" s="4">
        <v>82.996588824332036</v>
      </c>
      <c r="M10" s="4">
        <v>44.044916280070005</v>
      </c>
      <c r="N10" s="4">
        <v>154.82941969615794</v>
      </c>
      <c r="O10" s="4">
        <v>0.87559753651467331</v>
      </c>
      <c r="P10" s="4">
        <v>11.633963047720098</v>
      </c>
    </row>
    <row r="11" spans="1:16">
      <c r="A11" s="5">
        <v>44439</v>
      </c>
      <c r="B11" s="6">
        <v>93428.174594982687</v>
      </c>
      <c r="C11" s="4">
        <v>10.543735327522818</v>
      </c>
      <c r="D11" s="4">
        <v>104563.33397510451</v>
      </c>
      <c r="E11" s="4">
        <v>10.708171563219388</v>
      </c>
      <c r="F11" s="4">
        <v>15.288435374475382</v>
      </c>
      <c r="G11" s="4">
        <v>3.260367746201974</v>
      </c>
      <c r="H11" s="4">
        <v>7.9918858755590065</v>
      </c>
      <c r="I11" s="4">
        <v>4.9069150880314902</v>
      </c>
      <c r="J11" s="4">
        <v>89.350799217273433</v>
      </c>
      <c r="K11" s="4">
        <v>2.2686402257826095</v>
      </c>
      <c r="L11" s="4">
        <v>82.933318483619743</v>
      </c>
      <c r="M11" s="4">
        <v>44.302630506708084</v>
      </c>
      <c r="N11" s="4">
        <v>159.38889958507511</v>
      </c>
      <c r="O11" s="4">
        <v>0.88414709848078976</v>
      </c>
      <c r="P11" s="4">
        <v>11.762206477211844</v>
      </c>
    </row>
    <row r="12" spans="1:16">
      <c r="A12" s="5">
        <v>44469</v>
      </c>
      <c r="B12" s="6">
        <v>94299.360404562263</v>
      </c>
      <c r="C12" s="4">
        <v>10.708018226861453</v>
      </c>
      <c r="D12" s="4">
        <v>105406.32548163597</v>
      </c>
      <c r="E12" s="4">
        <v>10.618594853651365</v>
      </c>
      <c r="F12" s="4">
        <v>15.434712181799046</v>
      </c>
      <c r="G12" s="4">
        <v>3.2774557282352808</v>
      </c>
      <c r="H12" s="4">
        <v>8.0103677462019736</v>
      </c>
      <c r="I12" s="4">
        <v>4.8807714704345813</v>
      </c>
      <c r="J12" s="4">
        <v>89.462714854803679</v>
      </c>
      <c r="K12" s="4">
        <v>2.2945148446827637</v>
      </c>
      <c r="L12" s="4">
        <v>82.790781047025561</v>
      </c>
      <c r="M12" s="4">
        <v>44.524412954423688</v>
      </c>
      <c r="N12" s="4">
        <v>163.43875802726626</v>
      </c>
      <c r="O12" s="4">
        <v>0.89098229129411244</v>
      </c>
      <c r="P12" s="4">
        <v>11.864734369411686</v>
      </c>
    </row>
    <row r="13" spans="1:16">
      <c r="A13" s="5">
        <v>44500</v>
      </c>
      <c r="B13" s="6">
        <v>95110.771446317289</v>
      </c>
      <c r="C13" s="4">
        <v>10.851236166577372</v>
      </c>
      <c r="D13" s="4">
        <v>106216.99398392487</v>
      </c>
      <c r="E13" s="4">
        <v>10.500639579636905</v>
      </c>
      <c r="F13" s="4">
        <v>15.566653819254967</v>
      </c>
      <c r="G13" s="4">
        <v>3.289909645741671</v>
      </c>
      <c r="H13" s="4">
        <v>8.0255668985247741</v>
      </c>
      <c r="I13" s="4">
        <v>4.8496180360259897</v>
      </c>
      <c r="J13" s="4">
        <v>89.543836517075206</v>
      </c>
      <c r="K13" s="4">
        <v>2.3157936579346834</v>
      </c>
      <c r="L13" s="4">
        <v>82.57040070149931</v>
      </c>
      <c r="M13" s="4">
        <v>44.706802782297288</v>
      </c>
      <c r="N13" s="4">
        <v>166.94989973208109</v>
      </c>
      <c r="O13" s="4">
        <v>0.89596385829666858</v>
      </c>
      <c r="P13" s="4">
        <v>11.939457874450028</v>
      </c>
    </row>
    <row r="14" spans="1:16">
      <c r="A14" s="5">
        <v>44530</v>
      </c>
      <c r="B14" s="6">
        <v>95863.94614023852</v>
      </c>
      <c r="C14" s="4">
        <v>10.971622842265905</v>
      </c>
      <c r="D14" s="4">
        <v>106994.48954930212</v>
      </c>
      <c r="E14" s="4">
        <v>10.356146393775843</v>
      </c>
      <c r="F14" s="4">
        <v>15.682941969615793</v>
      </c>
      <c r="G14" s="4">
        <v>3.297475769093031</v>
      </c>
      <c r="H14" s="4">
        <v>8.0372461548388969</v>
      </c>
      <c r="I14" s="4">
        <v>4.8143181566589535</v>
      </c>
      <c r="J14" s="4">
        <v>89.597087236969585</v>
      </c>
      <c r="K14" s="4">
        <v>2.3321446167744551</v>
      </c>
      <c r="L14" s="4">
        <v>82.274379414605448</v>
      </c>
      <c r="M14" s="4">
        <v>44.846953858066762</v>
      </c>
      <c r="N14" s="4">
        <v>169.90815915503529</v>
      </c>
      <c r="O14" s="4">
        <v>0.89899030763721244</v>
      </c>
      <c r="P14" s="4">
        <v>11.984854614558186</v>
      </c>
    </row>
    <row r="15" spans="1:16">
      <c r="A15" s="5">
        <v>44561</v>
      </c>
      <c r="B15" s="6">
        <v>96562.744605729386</v>
      </c>
      <c r="C15" s="4">
        <v>11.06769352711172</v>
      </c>
      <c r="D15" s="4">
        <v>107738.881584509</v>
      </c>
      <c r="E15" s="4">
        <v>10.187370063906544</v>
      </c>
      <c r="F15" s="4">
        <v>15.782414720122871</v>
      </c>
      <c r="G15" s="4">
        <v>3.2999999500333419</v>
      </c>
      <c r="H15" s="4">
        <v>8.0452232642557888</v>
      </c>
      <c r="I15" s="4">
        <v>4.7758501168419647</v>
      </c>
      <c r="J15" s="4">
        <v>89.6266447039241</v>
      </c>
      <c r="K15" s="4">
        <v>2.3433125699581043</v>
      </c>
      <c r="L15" s="4">
        <v>81.905674933190994</v>
      </c>
      <c r="M15" s="4">
        <v>44.942679171069464</v>
      </c>
      <c r="N15" s="4">
        <v>172.31469307514999</v>
      </c>
      <c r="O15" s="4">
        <v>0.89999998001333692</v>
      </c>
      <c r="P15" s="4">
        <v>11.999999700200052</v>
      </c>
    </row>
    <row r="16" spans="1:16">
      <c r="A16" s="5">
        <v>44592</v>
      </c>
      <c r="B16" s="6">
        <v>97213.194770826725</v>
      </c>
      <c r="C16" s="4">
        <v>11.138263382999288</v>
      </c>
      <c r="D16" s="4">
        <v>108451.15691219083</v>
      </c>
      <c r="E16" s="4">
        <v>9.9969442882079136</v>
      </c>
      <c r="F16" s="4">
        <v>15.864078171934452</v>
      </c>
      <c r="G16" s="4">
        <v>3.297430762214955</v>
      </c>
      <c r="H16" s="4">
        <v>8.049373746651014</v>
      </c>
      <c r="I16" s="4">
        <v>4.7352800020149672</v>
      </c>
      <c r="J16" s="4">
        <v>89.637766473562749</v>
      </c>
      <c r="K16" s="4">
        <v>2.3491232453114188</v>
      </c>
      <c r="L16" s="4">
        <v>81.467971230556714</v>
      </c>
      <c r="M16" s="4">
        <v>44.99248495981216</v>
      </c>
      <c r="N16" s="4">
        <v>174.18594853651365</v>
      </c>
      <c r="O16" s="4">
        <v>0.89897230488598223</v>
      </c>
      <c r="P16" s="4">
        <v>11.984584573289732</v>
      </c>
    </row>
    <row r="17" spans="1:16">
      <c r="A17" s="5">
        <v>44620</v>
      </c>
      <c r="B17" s="6">
        <v>97823.252057732199</v>
      </c>
      <c r="C17" s="4">
        <v>11.182462073101128</v>
      </c>
      <c r="D17" s="4">
        <v>109133.19242255115</v>
      </c>
      <c r="E17" s="4">
        <v>9.7878405972201783</v>
      </c>
      <c r="F17" s="4">
        <v>15.927116370834385</v>
      </c>
      <c r="G17" s="4">
        <v>3.2898205489322101</v>
      </c>
      <c r="H17" s="4">
        <v>8.0496328351349575</v>
      </c>
      <c r="I17" s="4">
        <v>4.693732153551208</v>
      </c>
      <c r="J17" s="4">
        <v>89.636571501520663</v>
      </c>
      <c r="K17" s="4">
        <v>2.3494859691889411</v>
      </c>
      <c r="L17" s="4">
        <v>80.965641697413758</v>
      </c>
      <c r="M17" s="4">
        <v>44.995594021619496</v>
      </c>
      <c r="N17" s="4">
        <v>175.5532070425192</v>
      </c>
      <c r="O17" s="4">
        <v>0.89592821957288415</v>
      </c>
      <c r="P17" s="4">
        <v>11.938923293593261</v>
      </c>
    </row>
    <row r="18" spans="1:16">
      <c r="A18" s="5">
        <v>44651</v>
      </c>
      <c r="B18" s="6">
        <v>98402.482225233864</v>
      </c>
      <c r="C18" s="4">
        <v>11.199744495727025</v>
      </c>
      <c r="D18" s="4">
        <v>109787.70305808599</v>
      </c>
      <c r="E18" s="4">
        <v>9.5633219841046646</v>
      </c>
      <c r="F18" s="4">
        <v>15.97089945997692</v>
      </c>
      <c r="G18" s="4">
        <v>3.2773243567064201</v>
      </c>
      <c r="H18" s="4">
        <v>8.0459964867184848</v>
      </c>
      <c r="I18" s="4">
        <v>4.6523580092811292</v>
      </c>
      <c r="J18" s="4">
        <v>89.629785016243133</v>
      </c>
      <c r="K18" s="4">
        <v>2.344395081405878</v>
      </c>
      <c r="L18" s="4">
        <v>80.403705444409212</v>
      </c>
      <c r="M18" s="4">
        <v>44.951957840621809</v>
      </c>
      <c r="N18" s="4">
        <v>176.4617176347665</v>
      </c>
      <c r="O18" s="4">
        <v>0.89092974268256819</v>
      </c>
      <c r="P18" s="4">
        <v>11.863946140238522</v>
      </c>
    </row>
    <row r="19" spans="1:16">
      <c r="A19" s="5">
        <v>44681</v>
      </c>
      <c r="B19" s="6">
        <v>98961.680012089797</v>
      </c>
      <c r="C19" s="4">
        <v>11.189897507053884</v>
      </c>
      <c r="D19" s="4">
        <v>110418.16657292475</v>
      </c>
      <c r="E19" s="4">
        <v>9.3268919867268423</v>
      </c>
      <c r="F19" s="4">
        <v>15.994989973208108</v>
      </c>
      <c r="G19" s="4">
        <v>3.2601967764488125</v>
      </c>
      <c r="H19" s="4">
        <v>8.0385214454024236</v>
      </c>
      <c r="I19" s="4">
        <v>4.6123041930775956</v>
      </c>
      <c r="J19" s="4">
        <v>89.624455000103069</v>
      </c>
      <c r="K19" s="4">
        <v>2.3339300235633926</v>
      </c>
      <c r="L19" s="4">
        <v>79.787777152831652</v>
      </c>
      <c r="M19" s="4">
        <v>44.862257344829082</v>
      </c>
      <c r="N19" s="4">
        <v>176.96944288207914</v>
      </c>
      <c r="O19" s="4">
        <v>0.88407871057952514</v>
      </c>
      <c r="P19" s="4">
        <v>11.761180658692876</v>
      </c>
    </row>
    <row r="20" spans="1:16">
      <c r="A20" s="5">
        <v>44712</v>
      </c>
      <c r="B20" s="6">
        <v>99512.438784858634</v>
      </c>
      <c r="C20" s="4">
        <v>11.153042549824843</v>
      </c>
      <c r="D20" s="4">
        <v>111028.72715196297</v>
      </c>
      <c r="E20" s="4">
        <v>9.0822400161197354</v>
      </c>
      <c r="F20" s="4">
        <v>15.999147206083011</v>
      </c>
      <c r="G20" s="4">
        <v>3.2387867565579143</v>
      </c>
      <c r="H20" s="4">
        <v>8.027324356706421</v>
      </c>
      <c r="I20" s="4">
        <v>4.5746807378529137</v>
      </c>
      <c r="J20" s="4">
        <v>89.627649832153608</v>
      </c>
      <c r="K20" s="4">
        <v>2.3182540993889886</v>
      </c>
      <c r="L20" s="4">
        <v>79.124010974571718</v>
      </c>
      <c r="M20" s="4">
        <v>44.727892280477043</v>
      </c>
      <c r="N20" s="4">
        <v>177.14545253271623</v>
      </c>
      <c r="O20" s="4">
        <v>0.87551470262316589</v>
      </c>
      <c r="P20" s="4">
        <v>11.632720539347487</v>
      </c>
    </row>
    <row r="21" spans="1:16">
      <c r="A21" s="5">
        <v>44742</v>
      </c>
      <c r="B21" s="6">
        <v>100066.68834695975</v>
      </c>
      <c r="C21" s="4">
        <v>11.089634155598006</v>
      </c>
      <c r="D21" s="4">
        <v>111624.08056084142</v>
      </c>
      <c r="E21" s="4">
        <v>8.8331837844586971</v>
      </c>
      <c r="F21" s="4">
        <v>15.983329620904938</v>
      </c>
      <c r="G21" s="4">
        <v>3.2135304936266489</v>
      </c>
      <c r="H21" s="4">
        <v>8.0125799474546131</v>
      </c>
      <c r="I21" s="4">
        <v>4.5405303226207874</v>
      </c>
      <c r="J21" s="4">
        <v>89.646147895854568</v>
      </c>
      <c r="K21" s="4">
        <v>2.2976119264364581</v>
      </c>
      <c r="L21" s="4">
        <v>78.419039041870633</v>
      </c>
      <c r="M21" s="4">
        <v>44.550959369455356</v>
      </c>
      <c r="N21" s="4">
        <v>177.06800934735713</v>
      </c>
      <c r="O21" s="4">
        <v>0.86541219745065967</v>
      </c>
      <c r="P21" s="4">
        <v>11.481182961759894</v>
      </c>
    </row>
    <row r="22" spans="1:16">
      <c r="A22" s="5">
        <v>44773</v>
      </c>
      <c r="B22" s="6">
        <v>100636.21933505771</v>
      </c>
      <c r="C22" s="4">
        <v>11.0004543390165</v>
      </c>
      <c r="D22" s="4">
        <v>112209.34400967184</v>
      </c>
      <c r="E22" s="4">
        <v>8.5836097309397843</v>
      </c>
      <c r="F22" s="4">
        <v>15.94769526175639</v>
      </c>
      <c r="G22" s="4">
        <v>3.184942545600161</v>
      </c>
      <c r="H22" s="4">
        <v>7.9945182992219799</v>
      </c>
      <c r="I22" s="4">
        <v>4.5107993761730185</v>
      </c>
      <c r="J22" s="4">
        <v>89.686131064435614</v>
      </c>
      <c r="K22" s="4">
        <v>2.2723256189107723</v>
      </c>
      <c r="L22" s="4">
        <v>77.679905201247237</v>
      </c>
      <c r="M22" s="4">
        <v>44.334219590663764</v>
      </c>
      <c r="N22" s="4">
        <v>176.82240016119735</v>
      </c>
      <c r="O22" s="4">
        <v>0.85397701824006444</v>
      </c>
      <c r="P22" s="4">
        <v>11.309655273600965</v>
      </c>
    </row>
    <row r="23" spans="1:16">
      <c r="A23" s="5">
        <v>44804</v>
      </c>
      <c r="B23" s="6">
        <v>101232.21316358593</v>
      </c>
      <c r="C23" s="4">
        <v>10.886602953235229</v>
      </c>
      <c r="D23" s="4">
        <v>112789.9143370458</v>
      </c>
      <c r="E23" s="4">
        <v>8.3374123751959566</v>
      </c>
      <c r="F23" s="4">
        <v>15.892600175374829</v>
      </c>
      <c r="G23" s="4">
        <v>3.1536053484402737</v>
      </c>
      <c r="H23" s="4">
        <v>7.9734212579883179</v>
      </c>
      <c r="I23" s="4">
        <v>4.4863118481902902</v>
      </c>
      <c r="J23" s="4">
        <v>89.752894803233517</v>
      </c>
      <c r="K23" s="4">
        <v>2.2427897611836451</v>
      </c>
      <c r="L23" s="4">
        <v>76.913994633711866</v>
      </c>
      <c r="M23" s="4">
        <v>44.081055095859817</v>
      </c>
      <c r="N23" s="4">
        <v>176.49857228409661</v>
      </c>
      <c r="O23" s="4">
        <v>0.84144213937610957</v>
      </c>
      <c r="P23" s="4">
        <v>11.121632090641643</v>
      </c>
    </row>
    <row r="24" spans="1:16">
      <c r="A24" s="5">
        <v>44834</v>
      </c>
      <c r="B24" s="6">
        <v>101864.79625703811</v>
      </c>
      <c r="C24" s="4">
        <v>10.749484125450708</v>
      </c>
      <c r="D24" s="4">
        <v>113371.31844454941</v>
      </c>
      <c r="E24" s="4">
        <v>8.0984335446207609</v>
      </c>
      <c r="F24" s="4">
        <v>15.818594853651364</v>
      </c>
      <c r="G24" s="4">
        <v>3.1201573498785891</v>
      </c>
      <c r="H24" s="4">
        <v>7.9496180360259894</v>
      </c>
      <c r="I24" s="4">
        <v>4.4677463746823101</v>
      </c>
      <c r="J24" s="4">
        <v>89.850588009930206</v>
      </c>
      <c r="K24" s="4">
        <v>2.2094652504363848</v>
      </c>
      <c r="L24" s="4">
        <v>76.128960064478932</v>
      </c>
      <c r="M24" s="4">
        <v>43.795416432311868</v>
      </c>
      <c r="N24" s="4">
        <v>176.18864074249029</v>
      </c>
      <c r="O24" s="4">
        <v>0.82806293995143576</v>
      </c>
      <c r="P24" s="4">
        <v>10.920944099271535</v>
      </c>
    </row>
    <row r="25" spans="1:16">
      <c r="A25" s="5">
        <v>44865</v>
      </c>
      <c r="B25" s="6">
        <v>102542.63634137962</v>
      </c>
      <c r="C25" s="4">
        <v>10.590788939824314</v>
      </c>
      <c r="D25" s="4">
        <v>113959.06012677246</v>
      </c>
      <c r="E25" s="4">
        <v>7.8704024239367829</v>
      </c>
      <c r="F25" s="4">
        <v>15.726418733297747</v>
      </c>
      <c r="G25" s="4">
        <v>3.0852800020149664</v>
      </c>
      <c r="H25" s="4">
        <v>7.923480074652522</v>
      </c>
      <c r="I25" s="4">
        <v>4.4556174705837259</v>
      </c>
      <c r="J25" s="4">
        <v>89.981995487947358</v>
      </c>
      <c r="K25" s="4">
        <v>2.1728721045135311</v>
      </c>
      <c r="L25" s="4">
        <v>75.332645299466321</v>
      </c>
      <c r="M25" s="4">
        <v>43.48176089583027</v>
      </c>
      <c r="N25" s="4">
        <v>175.98433544620761</v>
      </c>
      <c r="O25" s="4">
        <v>0.81411200080598678</v>
      </c>
      <c r="P25" s="4">
        <v>10.711680012089801</v>
      </c>
    </row>
    <row r="26" spans="1:16">
      <c r="A26" s="5">
        <v>44895</v>
      </c>
      <c r="B26" s="6">
        <v>103272.59688916572</v>
      </c>
      <c r="C26" s="4">
        <v>10.412474581370216</v>
      </c>
      <c r="D26" s="4">
        <v>114558.46754169399</v>
      </c>
      <c r="E26" s="4">
        <v>7.6568773625153135</v>
      </c>
      <c r="F26" s="4">
        <v>15.61699280763918</v>
      </c>
      <c r="G26" s="4">
        <v>3.0496838777674053</v>
      </c>
      <c r="H26" s="4">
        <v>7.8954152480130828</v>
      </c>
      <c r="I26" s="4">
        <v>4.4502612707255178</v>
      </c>
      <c r="J26" s="4">
        <v>90.148374978549072</v>
      </c>
      <c r="K26" s="4">
        <v>2.1335813472183163</v>
      </c>
      <c r="L26" s="4">
        <v>74.533006852579362</v>
      </c>
      <c r="M26" s="4">
        <v>43.144982976156996</v>
      </c>
      <c r="N26" s="4">
        <v>175.9744590282331</v>
      </c>
      <c r="O26" s="4">
        <v>0.79987355110696234</v>
      </c>
      <c r="P26" s="4">
        <v>10.498103266604435</v>
      </c>
    </row>
    <row r="27" spans="1:16">
      <c r="A27" s="5">
        <v>44926</v>
      </c>
      <c r="B27" s="6">
        <v>104059.4634945498</v>
      </c>
      <c r="C27" s="4">
        <v>10.216740198026017</v>
      </c>
      <c r="D27" s="4">
        <v>115174.54554857977</v>
      </c>
      <c r="E27" s="4">
        <v>7.4611903475245285</v>
      </c>
      <c r="F27" s="4">
        <v>15.49141042435344</v>
      </c>
      <c r="G27" s="4">
        <v>3.0140941940295454</v>
      </c>
      <c r="H27" s="4">
        <v>7.8658614983408555</v>
      </c>
      <c r="I27" s="4">
        <v>4.4518262143499623</v>
      </c>
      <c r="J27" s="4">
        <v>90.349358878658023</v>
      </c>
      <c r="K27" s="4">
        <v>2.0922060976771975</v>
      </c>
      <c r="L27" s="4">
        <v>73.738034446854016</v>
      </c>
      <c r="M27" s="4">
        <v>42.790337980090264</v>
      </c>
      <c r="N27" s="4">
        <v>176.24242580966296</v>
      </c>
      <c r="O27" s="4">
        <v>0.78563767761181824</v>
      </c>
      <c r="P27" s="4">
        <v>10.284565164177273</v>
      </c>
    </row>
    <row r="28" spans="1:16">
      <c r="A28" s="5">
        <v>44957</v>
      </c>
      <c r="B28" s="6">
        <v>104905.75308674623</v>
      </c>
      <c r="C28" s="4">
        <v>10.005999778598786</v>
      </c>
      <c r="D28" s="4">
        <v>115811.83700563048</v>
      </c>
      <c r="E28" s="4">
        <v>7.2863950093841439</v>
      </c>
      <c r="F28" s="4">
        <v>15.350926361102301</v>
      </c>
      <c r="G28" s="4">
        <v>2.9792360364794361</v>
      </c>
      <c r="H28" s="4">
        <v>7.8352800020149669</v>
      </c>
      <c r="I28" s="4">
        <v>4.4602689313342152</v>
      </c>
      <c r="J28" s="4">
        <v>90.582928135097262</v>
      </c>
      <c r="K28" s="4">
        <v>2.0493920028209534</v>
      </c>
      <c r="L28" s="4">
        <v>72.955671183785356</v>
      </c>
      <c r="M28" s="4">
        <v>42.423360024179601</v>
      </c>
      <c r="N28" s="4">
        <v>176.86395009384142</v>
      </c>
      <c r="O28" s="4">
        <v>0.77169441459177446</v>
      </c>
      <c r="P28" s="4">
        <v>10.075416218876617</v>
      </c>
    </row>
    <row r="29" spans="1:16">
      <c r="A29" s="5">
        <v>44985</v>
      </c>
      <c r="B29" s="6">
        <v>105811.61358800529</v>
      </c>
      <c r="C29" s="4">
        <v>9.7828523810823445</v>
      </c>
      <c r="D29" s="4">
        <v>116474.29687131339</v>
      </c>
      <c r="E29" s="4">
        <v>7.1352189708840257</v>
      </c>
      <c r="F29" s="4">
        <v>15.196944288207913</v>
      </c>
      <c r="G29" s="4">
        <v>2.9458195870616248</v>
      </c>
      <c r="H29" s="4">
        <v>7.8041479730573364</v>
      </c>
      <c r="I29" s="4">
        <v>4.4753554441298178</v>
      </c>
      <c r="J29" s="4">
        <v>90.845462415550145</v>
      </c>
      <c r="K29" s="4">
        <v>2.0058071622802718</v>
      </c>
      <c r="L29" s="4">
        <v>72.193734178483041</v>
      </c>
      <c r="M29" s="4">
        <v>42.049775676688043</v>
      </c>
      <c r="N29" s="4">
        <v>177.90494785522321</v>
      </c>
      <c r="O29" s="4">
        <v>0.75832783482465005</v>
      </c>
      <c r="P29" s="4">
        <v>9.874917522369751</v>
      </c>
    </row>
    <row r="30" spans="1:16">
      <c r="A30" s="5">
        <v>45016</v>
      </c>
      <c r="B30" s="6">
        <v>106774.81801641977</v>
      </c>
      <c r="C30" s="4">
        <v>9.5500500785193978</v>
      </c>
      <c r="D30" s="4">
        <v>117165.18259847509</v>
      </c>
      <c r="E30" s="4">
        <v>7.0100212835428337</v>
      </c>
      <c r="F30" s="4">
        <v>15.031002743642928</v>
      </c>
      <c r="G30" s="4">
        <v>2.9145256551101486</v>
      </c>
      <c r="H30" s="4">
        <v>7.7729512163674723</v>
      </c>
      <c r="I30" s="4">
        <v>4.4966676521081048</v>
      </c>
      <c r="J30" s="4">
        <v>91.131866693142896</v>
      </c>
      <c r="K30" s="4">
        <v>1.962131702914462</v>
      </c>
      <c r="L30" s="4">
        <v>71.459836453641174</v>
      </c>
      <c r="M30" s="4">
        <v>41.675414596409674</v>
      </c>
      <c r="N30" s="4">
        <v>179.41970997458475</v>
      </c>
      <c r="O30" s="4">
        <v>0.74581026204405954</v>
      </c>
      <c r="P30" s="4">
        <v>9.6871539306608927</v>
      </c>
    </row>
    <row r="31" spans="1:16">
      <c r="A31" s="5">
        <v>45046</v>
      </c>
      <c r="B31" s="6">
        <v>107790.85326866602</v>
      </c>
      <c r="C31" s="4">
        <v>9.3104640177317073</v>
      </c>
      <c r="D31" s="4">
        <v>117886.96385880189</v>
      </c>
      <c r="E31" s="4">
        <v>6.9127556153980763</v>
      </c>
      <c r="F31" s="4">
        <v>14.85475976046766</v>
      </c>
      <c r="G31" s="4">
        <v>2.8859918068937889</v>
      </c>
      <c r="H31" s="4">
        <v>7.7421765468994943</v>
      </c>
      <c r="I31" s="4">
        <v>4.5236149186074019</v>
      </c>
      <c r="J31" s="4">
        <v>91.435770114303395</v>
      </c>
      <c r="K31" s="4">
        <v>1.9190471656592925</v>
      </c>
      <c r="L31" s="4">
        <v>70.761310872732054</v>
      </c>
      <c r="M31" s="4">
        <v>41.306118562793934</v>
      </c>
      <c r="N31" s="4">
        <v>181.44939764669806</v>
      </c>
      <c r="O31" s="4">
        <v>0.73439672275751566</v>
      </c>
      <c r="P31" s="4">
        <v>9.5159508413627343</v>
      </c>
    </row>
    <row r="32" spans="1:16">
      <c r="A32" s="5">
        <v>45077</v>
      </c>
      <c r="B32" s="6">
        <v>108853.10004319152</v>
      </c>
      <c r="C32" s="4">
        <v>9.0670490095153706</v>
      </c>
      <c r="D32" s="4">
        <v>118641.25409948248</v>
      </c>
      <c r="E32" s="4">
        <v>6.8449397646698067</v>
      </c>
      <c r="F32" s="4">
        <v>14.669976300311809</v>
      </c>
      <c r="G32" s="4">
        <v>2.8607993761730177</v>
      </c>
      <c r="H32" s="4">
        <v>7.7123041930775953</v>
      </c>
      <c r="I32" s="4">
        <v>4.5554504395639226</v>
      </c>
      <c r="J32" s="4">
        <v>91.749788780820325</v>
      </c>
      <c r="K32" s="4">
        <v>1.8772258703086331</v>
      </c>
      <c r="L32" s="4">
        <v>70.105136872458246</v>
      </c>
      <c r="M32" s="4">
        <v>40.947650316931139</v>
      </c>
      <c r="N32" s="4">
        <v>184.02090165804142</v>
      </c>
      <c r="O32" s="4">
        <v>0.72431975046920716</v>
      </c>
      <c r="P32" s="4">
        <v>9.3647962570381083</v>
      </c>
    </row>
    <row r="33" spans="1:16">
      <c r="A33" s="5">
        <v>45107</v>
      </c>
      <c r="B33" s="6">
        <v>109953.09673087936</v>
      </c>
      <c r="C33" s="4">
        <v>8.8228070870097284</v>
      </c>
      <c r="D33" s="4">
        <v>119428.76582887981</v>
      </c>
      <c r="E33" s="4">
        <v>6.807631975027042</v>
      </c>
      <c r="F33" s="4">
        <v>14.478498658427965</v>
      </c>
      <c r="G33" s="4">
        <v>2.8394616204087733</v>
      </c>
      <c r="H33" s="4">
        <v>7.6838003029920978</v>
      </c>
      <c r="I33" s="4">
        <v>4.5912919400937309</v>
      </c>
      <c r="J33" s="4">
        <v>92.065840225145251</v>
      </c>
      <c r="K33" s="4">
        <v>1.8373204241889369</v>
      </c>
      <c r="L33" s="4">
        <v>69.497870726528205</v>
      </c>
      <c r="M33" s="4">
        <v>40.605603635905176</v>
      </c>
      <c r="N33" s="4">
        <v>187.14609714799695</v>
      </c>
      <c r="O33" s="4">
        <v>0.71578464816350951</v>
      </c>
      <c r="P33" s="4">
        <v>9.2367697224526406</v>
      </c>
    </row>
    <row r="34" spans="1:16">
      <c r="A34" s="5">
        <v>45138</v>
      </c>
      <c r="B34" s="6">
        <v>111080.87675270162</v>
      </c>
      <c r="C34" s="4">
        <v>8.5807504816739328</v>
      </c>
      <c r="D34" s="4">
        <v>120249.29087040423</v>
      </c>
      <c r="E34" s="4">
        <v>6.8014144220492447</v>
      </c>
      <c r="F34" s="4">
        <v>14.282240016119735</v>
      </c>
      <c r="G34" s="4">
        <v>2.8224132639223041</v>
      </c>
      <c r="H34" s="4">
        <v>7.6571096703144139</v>
      </c>
      <c r="I34" s="4">
        <v>4.6301461254502687</v>
      </c>
      <c r="J34" s="4">
        <v>92.375494232574184</v>
      </c>
      <c r="K34" s="4">
        <v>1.7999535384401797</v>
      </c>
      <c r="L34" s="4">
        <v>68.945580037536573</v>
      </c>
      <c r="M34" s="4">
        <v>40.285316043772966</v>
      </c>
      <c r="N34" s="4">
        <v>190.82151450673723</v>
      </c>
      <c r="O34" s="4">
        <v>0.70896530556892179</v>
      </c>
      <c r="P34" s="4">
        <v>9.1344795835338264</v>
      </c>
    </row>
    <row r="35" spans="1:16">
      <c r="A35" s="5">
        <v>45169</v>
      </c>
      <c r="B35" s="6">
        <v>112225.36589577375</v>
      </c>
      <c r="C35" s="4">
        <v>8.3438644734878</v>
      </c>
      <c r="D35" s="4">
        <v>121101.70613182313</v>
      </c>
      <c r="E35" s="4">
        <v>6.8263841285711182</v>
      </c>
      <c r="F35" s="4">
        <v>14.08316132486658</v>
      </c>
      <c r="G35" s="4">
        <v>2.8100016410482915</v>
      </c>
      <c r="H35" s="4">
        <v>7.6326487934405662</v>
      </c>
      <c r="I35" s="4">
        <v>4.6709362087349424</v>
      </c>
      <c r="J35" s="4">
        <v>92.670342541345207</v>
      </c>
      <c r="K35" s="4">
        <v>1.7657083108167924</v>
      </c>
      <c r="L35" s="4">
        <v>68.453783111484711</v>
      </c>
      <c r="M35" s="4">
        <v>39.991785521286793</v>
      </c>
      <c r="N35" s="4">
        <v>195.02843553038539</v>
      </c>
      <c r="O35" s="4">
        <v>0.70400065641931675</v>
      </c>
      <c r="P35" s="4">
        <v>9.060009846289752</v>
      </c>
    </row>
    <row r="36" spans="1:16">
      <c r="A36" s="5">
        <v>45199</v>
      </c>
      <c r="B36" s="6">
        <v>113374.82380727574</v>
      </c>
      <c r="C36" s="4">
        <v>8.1150705735448021</v>
      </c>
      <c r="D36" s="4">
        <v>121984.0047301189</v>
      </c>
      <c r="E36" s="4">
        <v>6.8821514506737236</v>
      </c>
      <c r="F36" s="4">
        <v>13.883251713144841</v>
      </c>
      <c r="G36" s="4">
        <v>2.8024796197260411</v>
      </c>
      <c r="H36" s="4">
        <v>7.6107993761730182</v>
      </c>
      <c r="I36" s="4">
        <v>4.712531752470543</v>
      </c>
      <c r="J36" s="4">
        <v>92.942369008223352</v>
      </c>
      <c r="K36" s="4">
        <v>1.7351191266422252</v>
      </c>
      <c r="L36" s="4">
        <v>68.027393820691287</v>
      </c>
      <c r="M36" s="4">
        <v>39.729592514076217</v>
      </c>
      <c r="N36" s="4">
        <v>199.73341216864839</v>
      </c>
      <c r="O36" s="4">
        <v>0.70099184789041646</v>
      </c>
      <c r="P36" s="4">
        <v>9.0148777183562459</v>
      </c>
    </row>
    <row r="37" spans="1:16">
      <c r="A37" s="5">
        <v>45230</v>
      </c>
      <c r="B37" s="6">
        <v>114517.31204527007</v>
      </c>
      <c r="C37" s="4">
        <v>7.8971904931056418</v>
      </c>
      <c r="D37" s="4">
        <v>122893.35160931553</v>
      </c>
      <c r="E37" s="4">
        <v>6.9678461579475135</v>
      </c>
      <c r="F37" s="4">
        <v>13.684508611713504</v>
      </c>
      <c r="G37" s="4">
        <v>2.8000004496998012</v>
      </c>
      <c r="H37" s="4">
        <v>7.5919023713605034</v>
      </c>
      <c r="I37" s="4">
        <v>4.7537799970219536</v>
      </c>
      <c r="J37" s="4">
        <v>93.18430211694988</v>
      </c>
      <c r="K37" s="4">
        <v>1.7086633199047045</v>
      </c>
      <c r="L37" s="4">
        <v>67.670672506004365</v>
      </c>
      <c r="M37" s="4">
        <v>39.502828456326036</v>
      </c>
      <c r="N37" s="4">
        <v>204.88919348859216</v>
      </c>
      <c r="O37" s="4">
        <v>0.70000017987992069</v>
      </c>
      <c r="P37" s="4">
        <v>9.0000026981988093</v>
      </c>
    </row>
    <row r="38" spans="1:16">
      <c r="A38" s="5">
        <v>45260</v>
      </c>
      <c r="B38" s="6">
        <v>115641.17002670791</v>
      </c>
      <c r="C38" s="4">
        <v>7.6929113434814669</v>
      </c>
      <c r="D38" s="4">
        <v>123826.16210990683</v>
      </c>
      <c r="E38" s="4">
        <v>7.0821310131468165</v>
      </c>
      <c r="F38" s="4">
        <v>13.488917795946337</v>
      </c>
      <c r="G38" s="4">
        <v>2.8026146402883048</v>
      </c>
      <c r="H38" s="4">
        <v>7.5762526604428544</v>
      </c>
      <c r="I38" s="4">
        <v>4.7935378076428048</v>
      </c>
      <c r="J38" s="4">
        <v>93.389933158120499</v>
      </c>
      <c r="K38" s="4">
        <v>1.6867537246199957</v>
      </c>
      <c r="L38" s="4">
        <v>67.387183408883871</v>
      </c>
      <c r="M38" s="4">
        <v>39.315031925314251</v>
      </c>
      <c r="N38" s="4">
        <v>210.43603516511382</v>
      </c>
      <c r="O38" s="4">
        <v>0.701045856115322</v>
      </c>
      <c r="P38" s="4">
        <v>9.0156878417298305</v>
      </c>
    </row>
    <row r="39" spans="1:16">
      <c r="A39" s="5">
        <v>45291</v>
      </c>
      <c r="B39" s="6">
        <v>116735.47989807818</v>
      </c>
      <c r="C39" s="4">
        <v>7.5047524959359588</v>
      </c>
      <c r="D39" s="4">
        <v>124778.20131244991</v>
      </c>
      <c r="E39" s="4">
        <v>7.2232226393298076</v>
      </c>
      <c r="F39" s="4">
        <v>13.29843354462076</v>
      </c>
      <c r="G39" s="4">
        <v>2.8102689313342153</v>
      </c>
      <c r="H39" s="4">
        <v>7.5640944519247588</v>
      </c>
      <c r="I39" s="4">
        <v>4.8307033547824201</v>
      </c>
      <c r="J39" s="4">
        <v>93.554385838410653</v>
      </c>
      <c r="K39" s="4">
        <v>1.6697322326946631</v>
      </c>
      <c r="L39" s="4">
        <v>67.179759058679224</v>
      </c>
      <c r="M39" s="4">
        <v>39.169133423097115</v>
      </c>
      <c r="N39" s="4">
        <v>216.30335520749847</v>
      </c>
      <c r="O39" s="4">
        <v>0.70410757253368617</v>
      </c>
      <c r="P39" s="4">
        <v>9.0616135880052919</v>
      </c>
    </row>
    <row r="40" spans="1:16">
      <c r="A40" s="5">
        <v>45322</v>
      </c>
      <c r="B40" s="6">
        <v>117790.50179577373</v>
      </c>
      <c r="C40" s="4">
        <v>7.3350345103225578</v>
      </c>
      <c r="D40" s="4">
        <v>125744.70140216128</v>
      </c>
      <c r="E40" s="4">
        <v>7.3889193488592166</v>
      </c>
      <c r="F40" s="4">
        <v>13.114959113410295</v>
      </c>
      <c r="G40" s="4">
        <v>2.8228073782988314</v>
      </c>
      <c r="H40" s="4">
        <v>7.5556174705837256</v>
      </c>
      <c r="I40" s="4">
        <v>4.8642466496796972</v>
      </c>
      <c r="J40" s="4">
        <v>93.674326219958843</v>
      </c>
      <c r="K40" s="4">
        <v>1.657864458817216</v>
      </c>
      <c r="L40" s="4">
        <v>67.050471970932279</v>
      </c>
      <c r="M40" s="4">
        <v>39.067409647004709</v>
      </c>
      <c r="N40" s="4">
        <v>222.41169003602147</v>
      </c>
      <c r="O40" s="4">
        <v>0.70912295131953273</v>
      </c>
      <c r="P40" s="4">
        <v>9.1368442697929915</v>
      </c>
    </row>
    <row r="41" spans="1:16">
      <c r="A41" s="5">
        <v>45351</v>
      </c>
      <c r="B41" s="6">
        <v>118798.06214371744</v>
      </c>
      <c r="C41" s="4">
        <v>7.1858505156594283</v>
      </c>
      <c r="D41" s="4">
        <v>126720.49380192772</v>
      </c>
      <c r="E41" s="4">
        <v>7.5766355000015366</v>
      </c>
      <c r="F41" s="4">
        <v>12.940327718183013</v>
      </c>
      <c r="G41" s="4">
        <v>2.839974529394889</v>
      </c>
      <c r="H41" s="4">
        <v>7.5509539968783796</v>
      </c>
      <c r="I41" s="4">
        <v>4.8932380889946208</v>
      </c>
      <c r="J41" s="4">
        <v>93.748105440155911</v>
      </c>
      <c r="K41" s="4">
        <v>1.6513355956297322</v>
      </c>
      <c r="L41" s="4">
        <v>67.000613939487195</v>
      </c>
      <c r="M41" s="4">
        <v>39.011447962540565</v>
      </c>
      <c r="N41" s="4">
        <v>228.67489669879541</v>
      </c>
      <c r="O41" s="4">
        <v>0.71598981175795573</v>
      </c>
      <c r="P41" s="4">
        <v>9.2398471763693344</v>
      </c>
    </row>
    <row r="42" spans="1:16">
      <c r="A42" s="5">
        <v>45382</v>
      </c>
      <c r="B42" s="6">
        <v>119751.87950804723</v>
      </c>
      <c r="C42" s="4">
        <v>7.0590403956050185</v>
      </c>
      <c r="D42" s="4">
        <v>127700.15241185861</v>
      </c>
      <c r="E42" s="4">
        <v>7.7834418450014837</v>
      </c>
      <c r="F42" s="4">
        <v>12.776284218114561</v>
      </c>
      <c r="G42" s="4">
        <v>2.861420630028209</v>
      </c>
      <c r="H42" s="4">
        <v>7.5501768027561553</v>
      </c>
      <c r="I42" s="4">
        <v>4.9168742174047013</v>
      </c>
      <c r="J42" s="4">
        <v>93.775831309757095</v>
      </c>
      <c r="K42" s="4">
        <v>1.6502475238586176</v>
      </c>
      <c r="L42" s="4">
        <v>67.030683129313275</v>
      </c>
      <c r="M42" s="4">
        <v>39.00212163307387</v>
      </c>
      <c r="N42" s="4">
        <v>235.00254019764344</v>
      </c>
      <c r="O42" s="4">
        <v>0.72456825201128372</v>
      </c>
      <c r="P42" s="4">
        <v>9.3685237801692551</v>
      </c>
    </row>
    <row r="43" spans="1:16">
      <c r="A43" s="5">
        <v>45412</v>
      </c>
      <c r="B43" s="6">
        <v>120647.81501806191</v>
      </c>
      <c r="C43" s="4">
        <v>6.9561680972043236</v>
      </c>
      <c r="D43" s="4">
        <v>128678.14398570538</v>
      </c>
      <c r="E43" s="4">
        <v>8.0061112400135066</v>
      </c>
      <c r="F43" s="4">
        <v>12.624467681632053</v>
      </c>
      <c r="G43" s="4">
        <v>2.8867087485156171</v>
      </c>
      <c r="H43" s="4">
        <v>7.5532980160713894</v>
      </c>
      <c r="I43" s="4">
        <v>4.9344999941936845</v>
      </c>
      <c r="J43" s="4">
        <v>93.759368359761595</v>
      </c>
      <c r="K43" s="4">
        <v>1.6546172224999456</v>
      </c>
      <c r="L43" s="4">
        <v>67.140379099005344</v>
      </c>
      <c r="M43" s="4">
        <v>39.039576192856678</v>
      </c>
      <c r="N43" s="4">
        <v>241.30239976175631</v>
      </c>
      <c r="O43" s="4">
        <v>0.734683499406247</v>
      </c>
      <c r="P43" s="4">
        <v>9.5202524910937036</v>
      </c>
    </row>
    <row r="44" spans="1:16">
      <c r="A44" s="5">
        <v>45443</v>
      </c>
      <c r="B44" s="6">
        <v>121484.03736993507</v>
      </c>
      <c r="C44" s="4">
        <v>6.878502342756688</v>
      </c>
      <c r="D44" s="4">
        <v>129648.98147668547</v>
      </c>
      <c r="E44" s="4">
        <v>8.241169003602149</v>
      </c>
      <c r="F44" s="4">
        <v>12.486395009384143</v>
      </c>
      <c r="G44" s="4">
        <v>2.9153236779034608</v>
      </c>
      <c r="H44" s="4">
        <v>7.5602689313342148</v>
      </c>
      <c r="I44" s="4">
        <v>4.9456269467465939</v>
      </c>
      <c r="J44" s="4">
        <v>93.702268992974169</v>
      </c>
      <c r="K44" s="4">
        <v>1.6643765038679015</v>
      </c>
      <c r="L44" s="4">
        <v>67.328605802694895</v>
      </c>
      <c r="M44" s="4">
        <v>39.123227176010587</v>
      </c>
      <c r="N44" s="4">
        <v>247.48302461142441</v>
      </c>
      <c r="O44" s="4">
        <v>0.74612947116138439</v>
      </c>
      <c r="P44" s="4">
        <v>9.691942067420765</v>
      </c>
    </row>
    <row r="45" spans="1:16">
      <c r="A45" s="5">
        <v>45473</v>
      </c>
      <c r="B45" s="6">
        <v>122261.09583501966</v>
      </c>
      <c r="C45" s="4">
        <v>6.8270009826853553</v>
      </c>
      <c r="D45" s="4">
        <v>130607.37610295562</v>
      </c>
      <c r="E45" s="4">
        <v>8.4849471379837151</v>
      </c>
      <c r="F45" s="4">
        <v>12.363445777871179</v>
      </c>
      <c r="G45" s="4">
        <v>2.9466824325257148</v>
      </c>
      <c r="H45" s="4">
        <v>7.5709807697434393</v>
      </c>
      <c r="I45" s="4">
        <v>4.9499467078535551</v>
      </c>
      <c r="J45" s="4">
        <v>93.609640958289575</v>
      </c>
      <c r="K45" s="4">
        <v>1.6793730776408147</v>
      </c>
      <c r="L45" s="4">
        <v>67.593482541378137</v>
      </c>
      <c r="M45" s="4">
        <v>39.25176923692127</v>
      </c>
      <c r="N45" s="4">
        <v>253.45626838259358</v>
      </c>
      <c r="O45" s="4">
        <v>0.75867297301028591</v>
      </c>
      <c r="P45" s="4">
        <v>9.8800945951542882</v>
      </c>
    </row>
    <row r="46" spans="1:16">
      <c r="A46" s="5">
        <v>45504</v>
      </c>
      <c r="B46" s="6">
        <v>122981.89836213242</v>
      </c>
      <c r="C46" s="4">
        <v>6.8022991823845578</v>
      </c>
      <c r="D46" s="4">
        <v>131548.38391846255</v>
      </c>
      <c r="E46" s="4">
        <v>8.7336415669048879</v>
      </c>
      <c r="F46" s="4">
        <v>12.256848455172824</v>
      </c>
      <c r="G46" s="4">
        <v>2.9801461254502684</v>
      </c>
      <c r="H46" s="4">
        <v>7.5852663766433519</v>
      </c>
      <c r="I46" s="4">
        <v>4.9473395616558458</v>
      </c>
      <c r="J46" s="4">
        <v>93.487958345698956</v>
      </c>
      <c r="K46" s="4">
        <v>1.6993729273006928</v>
      </c>
      <c r="L46" s="4">
        <v>67.932362754238781</v>
      </c>
      <c r="M46" s="4">
        <v>39.423196519720221</v>
      </c>
      <c r="N46" s="4">
        <v>259.13973197437576</v>
      </c>
      <c r="O46" s="4">
        <v>0.77205845018010744</v>
      </c>
      <c r="P46" s="4">
        <v>10.080876752701611</v>
      </c>
    </row>
    <row r="47" spans="1:16">
      <c r="A47" s="5">
        <v>45535</v>
      </c>
      <c r="B47" s="6">
        <v>123651.59564681117</v>
      </c>
      <c r="C47" s="4">
        <v>6.8047015887355506</v>
      </c>
      <c r="D47" s="4">
        <v>132467.54282717418</v>
      </c>
      <c r="E47" s="4">
        <v>8.9833714969803555</v>
      </c>
      <c r="F47" s="4">
        <v>12.16766812650109</v>
      </c>
      <c r="G47" s="4">
        <v>3.0150329848284878</v>
      </c>
      <c r="H47" s="4">
        <v>7.6029028299162258</v>
      </c>
      <c r="I47" s="4">
        <v>4.9378777613957503</v>
      </c>
      <c r="J47" s="4">
        <v>93.344824707841923</v>
      </c>
      <c r="K47" s="4">
        <v>1.7240639618827163</v>
      </c>
      <c r="L47" s="4">
        <v>68.341860462208786</v>
      </c>
      <c r="M47" s="4">
        <v>39.634833958994712</v>
      </c>
      <c r="N47" s="4">
        <v>264.45904711956968</v>
      </c>
      <c r="O47" s="4">
        <v>0.78601319393139535</v>
      </c>
      <c r="P47" s="4">
        <v>10.290197908970928</v>
      </c>
    </row>
    <row r="48" spans="1:16">
      <c r="A48" s="5">
        <v>45565</v>
      </c>
      <c r="B48" s="6">
        <v>124277.37578933765</v>
      </c>
      <c r="C48" s="4">
        <v>6.8341785729018376</v>
      </c>
      <c r="D48" s="4">
        <v>133360.99624354256</v>
      </c>
      <c r="E48" s="4">
        <v>9.230239976175632</v>
      </c>
      <c r="F48" s="4">
        <v>12.096795852220968</v>
      </c>
      <c r="G48" s="4">
        <v>3.0506322439597304</v>
      </c>
      <c r="H48" s="4">
        <v>7.6236149186074016</v>
      </c>
      <c r="I48" s="4">
        <v>4.9218235270236743</v>
      </c>
      <c r="J48" s="4">
        <v>93.18869781265245</v>
      </c>
      <c r="K48" s="4">
        <v>1.7530608860503629</v>
      </c>
      <c r="L48" s="4">
        <v>68.817884099552103</v>
      </c>
      <c r="M48" s="4">
        <v>39.883379023288825</v>
      </c>
      <c r="N48" s="4">
        <v>269.34993739237609</v>
      </c>
      <c r="O48" s="4">
        <v>0.80025289758389218</v>
      </c>
      <c r="P48" s="4">
        <v>10.503793463758383</v>
      </c>
    </row>
    <row r="49" spans="1:16">
      <c r="A49" s="5">
        <v>45596</v>
      </c>
      <c r="B49" s="6">
        <v>124868.17772786264</v>
      </c>
      <c r="C49" s="4">
        <v>6.8903665957410958</v>
      </c>
      <c r="D49" s="4">
        <v>134225.59997212968</v>
      </c>
      <c r="E49" s="4">
        <v>9.4703947044401708</v>
      </c>
      <c r="F49" s="4">
        <v>12.044939764669806</v>
      </c>
      <c r="G49" s="4">
        <v>3.0862186220818688</v>
      </c>
      <c r="H49" s="4">
        <v>7.6470794375001923</v>
      </c>
      <c r="I49" s="4">
        <v>4.8996217781558729</v>
      </c>
      <c r="J49" s="4">
        <v>93.028586017711973</v>
      </c>
      <c r="K49" s="4">
        <v>1.785911212500269</v>
      </c>
      <c r="L49" s="4">
        <v>69.355677395436871</v>
      </c>
      <c r="M49" s="4">
        <v>40.164953250002306</v>
      </c>
      <c r="N49" s="4">
        <v>273.75999953549479</v>
      </c>
      <c r="O49" s="4">
        <v>0.8144874488327476</v>
      </c>
      <c r="P49" s="4">
        <v>10.717311732491213</v>
      </c>
    </row>
    <row r="50" spans="1:16">
      <c r="A50" s="5">
        <v>45626</v>
      </c>
      <c r="B50" s="6">
        <v>125434.33487115038</v>
      </c>
      <c r="C50" s="4">
        <v>6.9725726913272137</v>
      </c>
      <c r="D50" s="4">
        <v>135059.00934438364</v>
      </c>
      <c r="E50" s="4">
        <v>9.7000881475612353</v>
      </c>
      <c r="F50" s="4">
        <v>12.012617992733071</v>
      </c>
      <c r="G50" s="4">
        <v>3.1210671008637463</v>
      </c>
      <c r="H50" s="4">
        <v>7.6729302306251856</v>
      </c>
      <c r="I50" s="4">
        <v>4.8718878037782654</v>
      </c>
      <c r="J50" s="4">
        <v>92.873726440054412</v>
      </c>
      <c r="K50" s="4">
        <v>1.8221023228752595</v>
      </c>
      <c r="L50" s="4">
        <v>69.949866897021423</v>
      </c>
      <c r="M50" s="4">
        <v>40.475162767502226</v>
      </c>
      <c r="N50" s="4">
        <v>277.65015573972744</v>
      </c>
      <c r="O50" s="4">
        <v>0.82842684034549863</v>
      </c>
      <c r="P50" s="4">
        <v>10.926402605182478</v>
      </c>
    </row>
    <row r="51" spans="1:16">
      <c r="A51" s="5">
        <v>45657</v>
      </c>
      <c r="B51" s="6">
        <v>125987.16313818004</v>
      </c>
      <c r="C51" s="4">
        <v>7.0797830132872308</v>
      </c>
      <c r="D51" s="4">
        <v>135859.74419769706</v>
      </c>
      <c r="E51" s="4">
        <v>9.9157360161818815</v>
      </c>
      <c r="F51" s="4">
        <v>12.000153484871799</v>
      </c>
      <c r="G51" s="4">
        <v>3.1544676955509976</v>
      </c>
      <c r="H51" s="4">
        <v>7.7007639050016881</v>
      </c>
      <c r="I51" s="4">
        <v>4.8393902104124331</v>
      </c>
      <c r="J51" s="4">
        <v>92.733255080216495</v>
      </c>
      <c r="K51" s="4">
        <v>1.8610694670023635</v>
      </c>
      <c r="L51" s="4">
        <v>70.594515659218899</v>
      </c>
      <c r="M51" s="4">
        <v>40.809166860020255</v>
      </c>
      <c r="N51" s="4">
        <v>280.99573662828442</v>
      </c>
      <c r="O51" s="4">
        <v>0.84178707822039911</v>
      </c>
      <c r="P51" s="4">
        <v>11.126806173305987</v>
      </c>
    </row>
    <row r="52" spans="1:16">
      <c r="A52" s="5">
        <v>45688</v>
      </c>
      <c r="B52" s="6">
        <v>126538.50982816554</v>
      </c>
      <c r="C52" s="4">
        <v>7.210675338551324</v>
      </c>
      <c r="D52" s="4">
        <v>136627.22989594805</v>
      </c>
      <c r="E52" s="4">
        <v>10.113973197437579</v>
      </c>
      <c r="F52" s="4">
        <v>12.007670782328319</v>
      </c>
      <c r="G52" s="4">
        <v>3.185739919825608</v>
      </c>
      <c r="H52" s="4">
        <v>7.7301461254502684</v>
      </c>
      <c r="I52" s="4">
        <v>4.8030296213104391</v>
      </c>
      <c r="J52" s="4">
        <v>92.615878931699172</v>
      </c>
      <c r="K52" s="4">
        <v>1.902204575630376</v>
      </c>
      <c r="L52" s="4">
        <v>71.283182564689938</v>
      </c>
      <c r="M52" s="4">
        <v>41.161753505403226</v>
      </c>
      <c r="N52" s="4">
        <v>283.78716493246765</v>
      </c>
      <c r="O52" s="4">
        <v>0.85429596793024332</v>
      </c>
      <c r="P52" s="4">
        <v>11.31443951895365</v>
      </c>
    </row>
    <row r="53" spans="1:16">
      <c r="A53" s="5">
        <v>45716</v>
      </c>
      <c r="B53" s="6">
        <v>127100.28130612211</v>
      </c>
      <c r="C53" s="4">
        <v>7.363635374307365</v>
      </c>
      <c r="D53" s="4">
        <v>137361.81325469961</v>
      </c>
      <c r="E53" s="4">
        <v>10.291706266416975</v>
      </c>
      <c r="F53" s="4">
        <v>12.035094774751336</v>
      </c>
      <c r="G53" s="4">
        <v>3.2142466496796969</v>
      </c>
      <c r="H53" s="4">
        <v>7.7606183922479639</v>
      </c>
      <c r="I53" s="4">
        <v>4.7638137169991293</v>
      </c>
      <c r="J53" s="4">
        <v>92.52955992248711</v>
      </c>
      <c r="K53" s="4">
        <v>1.9448657491471499</v>
      </c>
      <c r="L53" s="4">
        <v>72.00898668135811</v>
      </c>
      <c r="M53" s="4">
        <v>41.527420706975569</v>
      </c>
      <c r="N53" s="4">
        <v>286.03022091166002</v>
      </c>
      <c r="O53" s="4">
        <v>0.86569865987187899</v>
      </c>
      <c r="P53" s="4">
        <v>11.485479898078184</v>
      </c>
    </row>
    <row r="54" spans="1:16">
      <c r="A54" s="5">
        <v>45747</v>
      </c>
      <c r="B54" s="6">
        <v>127683.96833366595</v>
      </c>
      <c r="C54" s="4">
        <v>7.5367766670465901</v>
      </c>
      <c r="D54" s="4">
        <v>138064.75292971364</v>
      </c>
      <c r="E54" s="4">
        <v>10.446161758023012</v>
      </c>
      <c r="F54" s="4">
        <v>12.082151450673724</v>
      </c>
      <c r="G54" s="4">
        <v>3.2394071038481798</v>
      </c>
      <c r="H54" s="4">
        <v>7.7917051958631109</v>
      </c>
      <c r="I54" s="4">
        <v>4.7228293088886879</v>
      </c>
      <c r="J54" s="4">
        <v>92.481220314548807</v>
      </c>
      <c r="K54" s="4">
        <v>1.988387274208355</v>
      </c>
      <c r="L54" s="4">
        <v>72.764676014408593</v>
      </c>
      <c r="M54" s="4">
        <v>41.90046235035733</v>
      </c>
      <c r="N54" s="4">
        <v>287.74588216189386</v>
      </c>
      <c r="O54" s="4">
        <v>0.87576284153927209</v>
      </c>
      <c r="P54" s="4">
        <v>11.63644262308908</v>
      </c>
    </row>
    <row r="55" spans="1:16">
      <c r="A55" s="5">
        <v>45777</v>
      </c>
      <c r="B55" s="6">
        <v>128300.18796860968</v>
      </c>
      <c r="C55" s="4">
        <v>7.7279638681625205</v>
      </c>
      <c r="D55" s="4">
        <v>138738.18453514818</v>
      </c>
      <c r="E55" s="4">
        <v>10.57492944596815</v>
      </c>
      <c r="F55" s="4">
        <v>12.148370635344534</v>
      </c>
      <c r="G55" s="4">
        <v>3.2607086763437376</v>
      </c>
      <c r="H55" s="4">
        <v>7.8229214371225444</v>
      </c>
      <c r="I55" s="4">
        <v>4.6812122198845483</v>
      </c>
      <c r="J55" s="4">
        <v>92.47647891493483</v>
      </c>
      <c r="K55" s="4">
        <v>2.0320900119715621</v>
      </c>
      <c r="L55" s="4">
        <v>73.542699965823232</v>
      </c>
      <c r="M55" s="4">
        <v>42.275057245470535</v>
      </c>
      <c r="N55" s="4">
        <v>288.96974225246981</v>
      </c>
      <c r="O55" s="4">
        <v>0.88428347053749523</v>
      </c>
      <c r="P55" s="4">
        <v>11.764252058062429</v>
      </c>
    </row>
    <row r="56" spans="1:16">
      <c r="A56" s="5">
        <v>45808</v>
      </c>
      <c r="B56" s="6">
        <v>128958.26029637152</v>
      </c>
      <c r="C56" s="4">
        <v>7.9348390691688415</v>
      </c>
      <c r="D56" s="4">
        <v>139385.06145813566</v>
      </c>
      <c r="E56" s="4">
        <v>10.675999953549479</v>
      </c>
      <c r="F56" s="4">
        <v>12.233090688559694</v>
      </c>
      <c r="G56" s="4">
        <v>3.2777173800241917</v>
      </c>
      <c r="H56" s="4">
        <v>7.8537799970219533</v>
      </c>
      <c r="I56" s="4">
        <v>4.6401158067174215</v>
      </c>
      <c r="J56" s="4">
        <v>92.519427080142407</v>
      </c>
      <c r="K56" s="4">
        <v>2.0752919958307352</v>
      </c>
      <c r="L56" s="4">
        <v>74.335284777460032</v>
      </c>
      <c r="M56" s="4">
        <v>42.645359964263449</v>
      </c>
      <c r="N56" s="4">
        <v>289.75102430226121</v>
      </c>
      <c r="O56" s="4">
        <v>0.8910869520096768</v>
      </c>
      <c r="P56" s="4">
        <v>11.866304280145151</v>
      </c>
    </row>
    <row r="57" spans="1:16">
      <c r="A57" s="5">
        <v>45838</v>
      </c>
      <c r="B57" s="6">
        <v>129665.83686758079</v>
      </c>
      <c r="C57" s="4">
        <v>8.1548508817445171</v>
      </c>
      <c r="D57" s="4">
        <v>140009.07300997968</v>
      </c>
      <c r="E57" s="4">
        <v>10.747796109300094</v>
      </c>
      <c r="F57" s="4">
        <v>12.335465115552198</v>
      </c>
      <c r="G57" s="4">
        <v>3.290086688420474</v>
      </c>
      <c r="H57" s="4">
        <v>7.8837993380550211</v>
      </c>
      <c r="I57" s="4">
        <v>4.6006789963490098</v>
      </c>
      <c r="J57" s="4">
        <v>92.612452950344419</v>
      </c>
      <c r="K57" s="4">
        <v>2.11731907327703</v>
      </c>
      <c r="L57" s="4">
        <v>75.134511203874794</v>
      </c>
      <c r="M57" s="4">
        <v>43.005592056660255</v>
      </c>
      <c r="N57" s="4">
        <v>290.15121683299458</v>
      </c>
      <c r="O57" s="4">
        <v>0.89603467536818981</v>
      </c>
      <c r="P57" s="4">
        <v>11.940520130522845</v>
      </c>
    </row>
    <row r="58" spans="1:16">
      <c r="A58" s="5">
        <v>45869</v>
      </c>
      <c r="B58" s="6">
        <v>130428.59565490026</v>
      </c>
      <c r="C58" s="4">
        <v>8.3852859039623624</v>
      </c>
      <c r="D58" s="4">
        <v>140614.54218229011</v>
      </c>
      <c r="E58" s="4">
        <v>10.789197558222353</v>
      </c>
      <c r="F58" s="4">
        <v>12.454471024888026</v>
      </c>
      <c r="G58" s="4">
        <v>3.2975645956864086</v>
      </c>
      <c r="H58" s="4">
        <v>7.9125110184451541</v>
      </c>
      <c r="I58" s="4">
        <v>4.5639947222776573</v>
      </c>
      <c r="J58" s="4">
        <v>92.756121543826538</v>
      </c>
      <c r="K58" s="4">
        <v>2.1575154258232163</v>
      </c>
      <c r="L58" s="4">
        <v>75.932393638803944</v>
      </c>
      <c r="M58" s="4">
        <v>43.350132221341852</v>
      </c>
      <c r="N58" s="4">
        <v>290.24236970483514</v>
      </c>
      <c r="O58" s="4">
        <v>0.8990258382745635</v>
      </c>
      <c r="P58" s="4">
        <v>11.985387574118453</v>
      </c>
    </row>
    <row r="59" spans="1:16">
      <c r="A59" s="5">
        <v>45900</v>
      </c>
      <c r="B59" s="6">
        <v>131250.01469017394</v>
      </c>
      <c r="C59" s="4">
        <v>8.6233021846286864</v>
      </c>
      <c r="D59" s="4">
        <v>141206.30584159581</v>
      </c>
      <c r="E59" s="4">
        <v>10.799558244552898</v>
      </c>
      <c r="F59" s="4">
        <v>12.588919348859216</v>
      </c>
      <c r="G59" s="4">
        <v>3.2999987508345501</v>
      </c>
      <c r="H59" s="4">
        <v>7.9394670020227345</v>
      </c>
      <c r="I59" s="4">
        <v>4.5310796354855434</v>
      </c>
      <c r="J59" s="4">
        <v>92.949117185608713</v>
      </c>
      <c r="K59" s="4">
        <v>2.1952538028318291</v>
      </c>
      <c r="L59" s="4">
        <v>76.720959904702525</v>
      </c>
      <c r="M59" s="4">
        <v>43.673604024272819</v>
      </c>
      <c r="N59" s="4">
        <v>290.10509735993037</v>
      </c>
      <c r="O59" s="4">
        <v>0.89999950033382015</v>
      </c>
      <c r="P59" s="4">
        <v>11.999992505007302</v>
      </c>
    </row>
    <row r="60" spans="1:16">
      <c r="A60" s="5">
        <v>45930</v>
      </c>
      <c r="B60" s="6">
        <v>132131.23340627304</v>
      </c>
      <c r="C60" s="4">
        <v>8.8659642730188217</v>
      </c>
      <c r="D60" s="4">
        <v>141789.58068266569</v>
      </c>
      <c r="E60" s="4">
        <v>10.778716493246764</v>
      </c>
      <c r="F60" s="4">
        <v>12.737466724255357</v>
      </c>
      <c r="G60" s="4">
        <v>3.2973395616558454</v>
      </c>
      <c r="H60" s="4">
        <v>7.9642466496796969</v>
      </c>
      <c r="I60" s="4">
        <v>4.5028459294441943</v>
      </c>
      <c r="J60" s="4">
        <v>93.18825316367311</v>
      </c>
      <c r="K60" s="4">
        <v>2.2299453095515762</v>
      </c>
      <c r="L60" s="4">
        <v>77.492330908107022</v>
      </c>
      <c r="M60" s="4">
        <v>43.970959796156365</v>
      </c>
      <c r="N60" s="4">
        <v>289.82634471109498</v>
      </c>
      <c r="O60" s="4">
        <v>0.89893582466233823</v>
      </c>
      <c r="P60" s="4">
        <v>11.984037369935074</v>
      </c>
    </row>
    <row r="61" spans="1:16">
      <c r="A61" s="5">
        <v>45961</v>
      </c>
      <c r="B61" s="6">
        <v>133071.00721150299</v>
      </c>
      <c r="C61" s="4">
        <v>9.1102794217407794</v>
      </c>
      <c r="D61" s="4">
        <v>142369.81865544582</v>
      </c>
      <c r="E61" s="4">
        <v>10.726997532862377</v>
      </c>
      <c r="F61" s="4">
        <v>12.898628914804725</v>
      </c>
      <c r="G61" s="4">
        <v>3.2896412050854673</v>
      </c>
      <c r="H61" s="4">
        <v>7.9864632833021219</v>
      </c>
      <c r="I61" s="4">
        <v>4.4800760600070824</v>
      </c>
      <c r="J61" s="4">
        <v>93.468551458615536</v>
      </c>
      <c r="K61" s="4">
        <v>2.2610485966229708</v>
      </c>
      <c r="L61" s="4">
        <v>78.238799364932788</v>
      </c>
      <c r="M61" s="4">
        <v>44.237559399625461</v>
      </c>
      <c r="N61" s="4">
        <v>289.49697759076383</v>
      </c>
      <c r="O61" s="4">
        <v>0.89585648203418711</v>
      </c>
      <c r="P61" s="4">
        <v>11.937847230512807</v>
      </c>
    </row>
    <row r="62" spans="1:16">
      <c r="A62" s="5">
        <v>45991</v>
      </c>
      <c r="B62" s="6">
        <v>134065.75710754693</v>
      </c>
      <c r="C62" s="4">
        <v>9.3532344962377394</v>
      </c>
      <c r="D62" s="4">
        <v>142952.55587224363</v>
      </c>
      <c r="E62" s="4">
        <v>10.645208420478681</v>
      </c>
      <c r="F62" s="4">
        <v>13.070795641172484</v>
      </c>
      <c r="G62" s="4">
        <v>3.2770605234301597</v>
      </c>
      <c r="H62" s="4">
        <v>8.0057702197528755</v>
      </c>
      <c r="I62" s="4">
        <v>4.4634010607904733</v>
      </c>
      <c r="J62" s="4">
        <v>93.783392881314555</v>
      </c>
      <c r="K62" s="4">
        <v>2.2880783076540268</v>
      </c>
      <c r="L62" s="4">
        <v>78.952906809108867</v>
      </c>
      <c r="M62" s="4">
        <v>44.469242637034519</v>
      </c>
      <c r="N62" s="4">
        <v>289.20926453739366</v>
      </c>
      <c r="O62" s="4">
        <v>0.89082420937206397</v>
      </c>
      <c r="P62" s="4">
        <v>11.862363140580959</v>
      </c>
    </row>
    <row r="63" spans="1:16">
      <c r="A63" s="5">
        <v>46022</v>
      </c>
      <c r="B63" s="6">
        <v>135109.71237283433</v>
      </c>
      <c r="C63" s="4">
        <v>9.5918331357250608</v>
      </c>
      <c r="D63" s="4">
        <v>143543.25918247525</v>
      </c>
      <c r="E63" s="4">
        <v>10.534625447839348</v>
      </c>
      <c r="F63" s="4">
        <v>13.252246670339527</v>
      </c>
      <c r="G63" s="4">
        <v>3.2598538289447756</v>
      </c>
      <c r="H63" s="4">
        <v>8.0218661807460183</v>
      </c>
      <c r="I63" s="4">
        <v>4.453283055000032</v>
      </c>
      <c r="J63" s="4">
        <v>94.124735039685831</v>
      </c>
      <c r="K63" s="4">
        <v>2.3106126530444264</v>
      </c>
      <c r="L63" s="4">
        <v>79.627518115105602</v>
      </c>
      <c r="M63" s="4">
        <v>44.662394168952225</v>
      </c>
      <c r="N63" s="4">
        <v>289.05431970792074</v>
      </c>
      <c r="O63" s="4">
        <v>0.88394153157791033</v>
      </c>
      <c r="P63" s="4">
        <v>11.759122973668653</v>
      </c>
    </row>
    <row r="64" spans="1:16">
      <c r="A64" s="5">
        <v>46053</v>
      </c>
      <c r="B64" s="6">
        <v>136195.14062299934</v>
      </c>
      <c r="C64" s="4">
        <v>9.8231327072566845</v>
      </c>
      <c r="D64" s="4">
        <v>144147.17466693275</v>
      </c>
      <c r="E64" s="4">
        <v>10.396974225246982</v>
      </c>
      <c r="F64" s="4">
        <v>13.441169003602148</v>
      </c>
      <c r="G64" s="4">
        <v>3.2383716818599093</v>
      </c>
      <c r="H64" s="4">
        <v>8.0344999941936841</v>
      </c>
      <c r="I64" s="4">
        <v>4.4500024483623246</v>
      </c>
      <c r="J64" s="4">
        <v>94.483392364569468</v>
      </c>
      <c r="K64" s="4">
        <v>2.3282999918711584</v>
      </c>
      <c r="L64" s="4">
        <v>80.255892789750305</v>
      </c>
      <c r="M64" s="4">
        <v>44.813999930324215</v>
      </c>
      <c r="N64" s="4">
        <v>289.11957778221262</v>
      </c>
      <c r="O64" s="4">
        <v>0.87534867274396377</v>
      </c>
      <c r="P64" s="4">
        <v>11.630230091159456</v>
      </c>
    </row>
    <row r="65" spans="1:16">
      <c r="A65" s="5">
        <v>46081</v>
      </c>
      <c r="B65" s="6">
        <v>137312.65607664475</v>
      </c>
      <c r="C65" s="4">
        <v>10.044280597166992</v>
      </c>
      <c r="D65" s="4">
        <v>144769.1822503306</v>
      </c>
      <c r="E65" s="4">
        <v>10.234402753991493</v>
      </c>
      <c r="F65" s="4">
        <v>13.635674991455808</v>
      </c>
      <c r="G65" s="4">
        <v>3.2130517482503631</v>
      </c>
      <c r="H65" s="4">
        <v>8.0434745136625114</v>
      </c>
      <c r="I65" s="4">
        <v>4.4536501580903751</v>
      </c>
      <c r="J65" s="4">
        <v>94.849369142120139</v>
      </c>
      <c r="K65" s="4">
        <v>2.3408643191275162</v>
      </c>
      <c r="L65" s="4">
        <v>80.831752321007002</v>
      </c>
      <c r="M65" s="4">
        <v>44.921694163950136</v>
      </c>
      <c r="N65" s="4">
        <v>289.48637083884341</v>
      </c>
      <c r="O65" s="4">
        <v>0.86522069930014534</v>
      </c>
      <c r="P65" s="4">
        <v>11.47831048950218</v>
      </c>
    </row>
    <row r="66" spans="1:16">
      <c r="A66" s="5">
        <v>46112</v>
      </c>
      <c r="B66" s="6">
        <v>138451.59373682755</v>
      </c>
      <c r="C66" s="4">
        <v>10.252549392306438</v>
      </c>
      <c r="D66" s="4">
        <v>145413.66046133213</v>
      </c>
      <c r="E66" s="4">
        <v>10.049447907508386</v>
      </c>
      <c r="F66" s="4">
        <v>13.833821194365008</v>
      </c>
      <c r="G66" s="4">
        <v>3.1844098832545153</v>
      </c>
      <c r="H66" s="4">
        <v>8.0486496947777937</v>
      </c>
      <c r="I66" s="4">
        <v>4.4641250932461292</v>
      </c>
      <c r="J66" s="4">
        <v>95.212233360733052</v>
      </c>
      <c r="K66" s="4">
        <v>2.3481095726889114</v>
      </c>
      <c r="L66" s="4">
        <v>81.349342910793226</v>
      </c>
      <c r="M66" s="4">
        <v>44.98379633733353</v>
      </c>
      <c r="N66" s="4">
        <v>290.2276743555355</v>
      </c>
      <c r="O66" s="4">
        <v>0.85376395330180632</v>
      </c>
      <c r="P66" s="4">
        <v>11.306459299527093</v>
      </c>
    </row>
    <row r="67" spans="1:16">
      <c r="A67" s="5">
        <v>46142</v>
      </c>
      <c r="B67" s="6">
        <v>139600.43457083171</v>
      </c>
      <c r="C67" s="4">
        <v>10.445370517181336</v>
      </c>
      <c r="D67" s="4">
        <v>146084.36508803398</v>
      </c>
      <c r="E67" s="4">
        <v>9.8449958443172818</v>
      </c>
      <c r="F67" s="4">
        <v>14.033627800968699</v>
      </c>
      <c r="G67" s="4">
        <v>3.1530296213104392</v>
      </c>
      <c r="H67" s="4">
        <v>8.0499447805691116</v>
      </c>
      <c r="I67" s="4">
        <v>4.4811369563278927</v>
      </c>
      <c r="J67" s="4">
        <v>95.561516447502854</v>
      </c>
      <c r="K67" s="4">
        <v>2.3499226927967571</v>
      </c>
      <c r="L67" s="4">
        <v>81.803492965028511</v>
      </c>
      <c r="M67" s="4">
        <v>44.999337366829344</v>
      </c>
      <c r="N67" s="4">
        <v>291.40608480056659</v>
      </c>
      <c r="O67" s="4">
        <v>0.84121184852417574</v>
      </c>
      <c r="P67" s="4">
        <v>11.118177727862635</v>
      </c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7"/>
  <sheetViews>
    <sheetView workbookViewId="0">
      <selection activeCell="M15" sqref="M15"/>
    </sheetView>
  </sheetViews>
  <sheetFormatPr defaultRowHeight="14.25"/>
  <cols>
    <col min="1" max="1" width="10.125" bestFit="1" customWidth="1"/>
    <col min="2" max="2" width="12.875" customWidth="1"/>
    <col min="3" max="3" width="8.25" customWidth="1"/>
    <col min="4" max="4" width="5.75" customWidth="1"/>
    <col min="5" max="5" width="9.125" customWidth="1"/>
    <col min="6" max="6" width="10.5" customWidth="1"/>
    <col min="7" max="7" width="10.25" customWidth="1"/>
    <col min="8" max="8" width="12.625" customWidth="1"/>
    <col min="9" max="9" width="15.375" customWidth="1"/>
    <col min="10" max="10" width="16.875" customWidth="1"/>
  </cols>
  <sheetData>
    <row r="1" spans="1:10" ht="27.95" customHeight="1">
      <c r="A1" s="10" t="s">
        <v>117</v>
      </c>
      <c r="B1" s="10" t="s">
        <v>117</v>
      </c>
      <c r="C1" s="10" t="s">
        <v>117</v>
      </c>
      <c r="D1" s="10" t="s">
        <v>117</v>
      </c>
      <c r="E1" s="10" t="s">
        <v>117</v>
      </c>
      <c r="F1" s="10" t="s">
        <v>117</v>
      </c>
      <c r="G1" s="10" t="s">
        <v>117</v>
      </c>
      <c r="H1" s="10" t="s">
        <v>117</v>
      </c>
      <c r="I1" s="10" t="s">
        <v>117</v>
      </c>
      <c r="J1" s="10" t="s">
        <v>117</v>
      </c>
    </row>
    <row r="3" spans="1:10" ht="25.5">
      <c r="A3" s="3" t="s">
        <v>75</v>
      </c>
      <c r="B3" s="3" t="s">
        <v>17</v>
      </c>
      <c r="C3" s="3" t="s">
        <v>118</v>
      </c>
      <c r="D3" s="3" t="s">
        <v>119</v>
      </c>
      <c r="E3" s="3" t="s">
        <v>120</v>
      </c>
      <c r="F3" s="3" t="s">
        <v>121</v>
      </c>
      <c r="G3" s="3" t="s">
        <v>122</v>
      </c>
      <c r="H3" s="3" t="s">
        <v>123</v>
      </c>
      <c r="I3" s="3" t="s">
        <v>124</v>
      </c>
      <c r="J3" s="3" t="s">
        <v>125</v>
      </c>
    </row>
    <row r="4" spans="1:10">
      <c r="A4" s="5">
        <v>44227</v>
      </c>
      <c r="B4" s="7">
        <v>50000</v>
      </c>
      <c r="C4" s="7">
        <v>2.1</v>
      </c>
      <c r="D4" s="7">
        <v>4.7</v>
      </c>
      <c r="E4" s="7">
        <v>0</v>
      </c>
      <c r="F4" s="7">
        <v>0</v>
      </c>
      <c r="G4" s="7">
        <v>2500</v>
      </c>
      <c r="H4" s="7">
        <v>2400</v>
      </c>
      <c r="I4" s="7">
        <v>-1500</v>
      </c>
      <c r="J4" s="7">
        <v>3000</v>
      </c>
    </row>
    <row r="5" spans="1:10">
      <c r="A5" s="5">
        <v>44255</v>
      </c>
      <c r="B5" s="7">
        <v>50000</v>
      </c>
      <c r="C5" s="7">
        <v>2.1436361566848299</v>
      </c>
      <c r="D5" s="7">
        <v>4.7798667333174629</v>
      </c>
      <c r="E5" s="7">
        <v>13.271690615473201</v>
      </c>
      <c r="F5" s="7">
        <v>2.2176525701990597</v>
      </c>
      <c r="G5" s="7">
        <v>2524.9349466770454</v>
      </c>
      <c r="H5" s="7">
        <v>2425.6269113626076</v>
      </c>
      <c r="I5" s="7">
        <v>-1400.6653346024693</v>
      </c>
      <c r="J5" s="7">
        <v>3085.4230378753582</v>
      </c>
    </row>
    <row r="6" spans="1:10">
      <c r="A6" s="5">
        <v>44286</v>
      </c>
      <c r="B6" s="7">
        <v>50000</v>
      </c>
      <c r="C6" s="7">
        <v>2.1865913857390833</v>
      </c>
      <c r="D6" s="7">
        <v>4.8589354646360494</v>
      </c>
      <c r="E6" s="7">
        <v>26.175575743692178</v>
      </c>
      <c r="F6" s="7">
        <v>4.4079548691224453</v>
      </c>
      <c r="G6" s="7">
        <v>2549.4807918509046</v>
      </c>
      <c r="H6" s="7">
        <v>2450.7317133819979</v>
      </c>
      <c r="I6" s="7">
        <v>-1305.2908288456747</v>
      </c>
      <c r="J6" s="7">
        <v>3169.1057112733261</v>
      </c>
    </row>
    <row r="7" spans="1:10">
      <c r="A7" s="5">
        <v>44316</v>
      </c>
      <c r="B7" s="7">
        <v>50000</v>
      </c>
      <c r="C7" s="7">
        <v>2.2281953851801166</v>
      </c>
      <c r="D7" s="7">
        <v>4.9364161653290717</v>
      </c>
      <c r="E7" s="7">
        <v>38.35404308833624</v>
      </c>
      <c r="F7" s="7">
        <v>6.5438939359230446</v>
      </c>
      <c r="G7" s="7">
        <v>2573.2545058172095</v>
      </c>
      <c r="H7" s="7">
        <v>2474.8029338987494</v>
      </c>
      <c r="I7" s="7">
        <v>-1217.6787633024824</v>
      </c>
      <c r="J7" s="7">
        <v>3249.3431129958312</v>
      </c>
    </row>
    <row r="8" spans="1:10">
      <c r="A8" s="5">
        <v>44347</v>
      </c>
      <c r="B8" s="7">
        <v>50000</v>
      </c>
      <c r="C8" s="7">
        <v>2.2677989385114712</v>
      </c>
      <c r="D8" s="7">
        <v>5.0115346738469206</v>
      </c>
      <c r="E8" s="7">
        <v>49.469584245578957</v>
      </c>
      <c r="F8" s="7">
        <v>8.5991272705671111</v>
      </c>
      <c r="G8" s="7">
        <v>2595.8851077208406</v>
      </c>
      <c r="H8" s="7">
        <v>2497.3501584045898</v>
      </c>
      <c r="I8" s="7">
        <v>-1141.3219545502386</v>
      </c>
      <c r="J8" s="7">
        <v>3324.5005280152991</v>
      </c>
    </row>
    <row r="9" spans="1:10">
      <c r="A9" s="5">
        <v>44377</v>
      </c>
      <c r="B9" s="7">
        <v>50000</v>
      </c>
      <c r="C9" s="7">
        <v>2.3047840455291619</v>
      </c>
      <c r="D9" s="7">
        <v>5.0835404308833629</v>
      </c>
      <c r="E9" s="7">
        <v>59.214148255682971</v>
      </c>
      <c r="F9" s="7">
        <v>10.548307715437311</v>
      </c>
      <c r="G9" s="7">
        <v>2617.0194545880922</v>
      </c>
      <c r="H9" s="7">
        <v>2517.9140214921335</v>
      </c>
      <c r="I9" s="7">
        <v>-1079.2645075960518</v>
      </c>
      <c r="J9" s="7">
        <v>3393.0467383071114</v>
      </c>
    </row>
    <row r="10" spans="1:10">
      <c r="A10" s="5">
        <v>44408</v>
      </c>
      <c r="B10" s="7">
        <v>50000</v>
      </c>
      <c r="C10" s="7">
        <v>2.3385735660081668</v>
      </c>
      <c r="D10" s="7">
        <v>5.1517139787160282</v>
      </c>
      <c r="E10" s="7">
        <v>67.317678784631724</v>
      </c>
      <c r="F10" s="7">
        <v>12.367396061394739</v>
      </c>
      <c r="G10" s="7">
        <v>2636.3277520046668</v>
      </c>
      <c r="H10" s="7">
        <v>2536.0755657264117</v>
      </c>
      <c r="I10" s="7">
        <v>-1033.9804570163869</v>
      </c>
      <c r="J10" s="7">
        <v>3453.5852190880396</v>
      </c>
    </row>
    <row r="11" spans="1:10">
      <c r="A11" s="5">
        <v>44439</v>
      </c>
      <c r="B11" s="7">
        <v>50000</v>
      </c>
      <c r="C11" s="7">
        <v>2.3686402257826096</v>
      </c>
      <c r="D11" s="7">
        <v>5.2153741497901533</v>
      </c>
      <c r="E11" s="7">
        <v>73.555598340300406</v>
      </c>
      <c r="F11" s="7">
        <v>14.033957522934706</v>
      </c>
      <c r="G11" s="7">
        <v>2653.5087004472052</v>
      </c>
      <c r="H11" s="7">
        <v>2551.4647772654212</v>
      </c>
      <c r="I11" s="7">
        <v>-1007.2751350057699</v>
      </c>
      <c r="J11" s="7">
        <v>3504.882590884738</v>
      </c>
    </row>
    <row r="12" spans="1:10">
      <c r="A12" s="5">
        <v>44469</v>
      </c>
      <c r="B12" s="7">
        <v>50000</v>
      </c>
      <c r="C12" s="7">
        <v>2.3945148446827638</v>
      </c>
      <c r="D12" s="7">
        <v>5.2738848727196181</v>
      </c>
      <c r="E12" s="7">
        <v>77.755032109065013</v>
      </c>
      <c r="F12" s="7">
        <v>15.527438426013209</v>
      </c>
      <c r="G12" s="7">
        <v>2668.2941969615795</v>
      </c>
      <c r="H12" s="7">
        <v>2563.7681243294023</v>
      </c>
      <c r="I12" s="7">
        <v>-1000.2131984792475</v>
      </c>
      <c r="J12" s="7">
        <v>3545.8937477646741</v>
      </c>
    </row>
    <row r="13" spans="1:10">
      <c r="A13" s="5">
        <v>44500</v>
      </c>
      <c r="B13" s="7">
        <v>50000</v>
      </c>
      <c r="C13" s="7">
        <v>2.4157936579346835</v>
      </c>
      <c r="D13" s="7">
        <v>5.3266615277019866</v>
      </c>
      <c r="E13" s="7">
        <v>79.799598928324357</v>
      </c>
      <c r="F13" s="7">
        <v>16.829419696157931</v>
      </c>
      <c r="G13" s="7">
        <v>2680.4535188198192</v>
      </c>
      <c r="H13" s="7">
        <v>2572.7349449340031</v>
      </c>
      <c r="I13" s="7">
        <v>-1013.0761845609024</v>
      </c>
      <c r="J13" s="7">
        <v>3575.7831497800107</v>
      </c>
    </row>
    <row r="14" spans="1:10">
      <c r="A14" s="5">
        <v>44530</v>
      </c>
      <c r="B14" s="7">
        <v>50000</v>
      </c>
      <c r="C14" s="7">
        <v>2.4321446167744551</v>
      </c>
      <c r="D14" s="7">
        <v>5.373176787846317</v>
      </c>
      <c r="E14" s="7">
        <v>79.632636620141199</v>
      </c>
      <c r="F14" s="7">
        <v>17.923844020599127</v>
      </c>
      <c r="G14" s="7">
        <v>2689.7969238711171</v>
      </c>
      <c r="H14" s="7">
        <v>2578.1825537469822</v>
      </c>
      <c r="I14" s="7">
        <v>-1045.3512865871592</v>
      </c>
      <c r="J14" s="7">
        <v>3593.9418458232744</v>
      </c>
    </row>
    <row r="15" spans="1:10">
      <c r="A15" s="5">
        <v>44561</v>
      </c>
      <c r="B15" s="7">
        <v>50000</v>
      </c>
      <c r="C15" s="7">
        <v>2.4433125699581044</v>
      </c>
      <c r="D15" s="7">
        <v>5.4129658880491487</v>
      </c>
      <c r="E15" s="7">
        <v>77.258772300599986</v>
      </c>
      <c r="F15" s="7">
        <v>18.797213882833809</v>
      </c>
      <c r="G15" s="7">
        <v>2696.1786114046313</v>
      </c>
      <c r="H15" s="7">
        <v>2579.9999640240062</v>
      </c>
      <c r="I15" s="7">
        <v>-1095.7517980902048</v>
      </c>
      <c r="J15" s="7">
        <v>3599.9998800800208</v>
      </c>
    </row>
    <row r="16" spans="1:10">
      <c r="A16" s="5">
        <v>44592</v>
      </c>
      <c r="B16" s="7">
        <v>50000</v>
      </c>
      <c r="C16" s="7">
        <v>2.4491232453114193</v>
      </c>
      <c r="D16" s="7">
        <v>5.4456312687737816</v>
      </c>
      <c r="E16" s="7">
        <v>72.74379414605454</v>
      </c>
      <c r="F16" s="7">
        <v>19.438758027266253</v>
      </c>
      <c r="G16" s="7">
        <v>2699.4989973208108</v>
      </c>
      <c r="H16" s="7">
        <v>2578.150148794768</v>
      </c>
      <c r="I16" s="7">
        <v>-1162.2684097244246</v>
      </c>
      <c r="J16" s="7">
        <v>3593.8338293158931</v>
      </c>
    </row>
    <row r="17" spans="1:10">
      <c r="A17" s="5">
        <v>44620</v>
      </c>
      <c r="B17" s="7">
        <v>50000</v>
      </c>
      <c r="C17" s="7">
        <v>2.4494859691889412</v>
      </c>
      <c r="D17" s="7">
        <v>5.4708465483337543</v>
      </c>
      <c r="E17" s="7">
        <v>66.212828170076847</v>
      </c>
      <c r="F17" s="7">
        <v>19.840564300919336</v>
      </c>
      <c r="G17" s="7">
        <v>2699.7062681079665</v>
      </c>
      <c r="H17" s="7">
        <v>2572.6707952311913</v>
      </c>
      <c r="I17" s="7">
        <v>-1242.249314089268</v>
      </c>
      <c r="J17" s="7">
        <v>3575.5693174373041</v>
      </c>
    </row>
    <row r="18" spans="1:10">
      <c r="A18" s="5">
        <v>44651</v>
      </c>
      <c r="B18" s="7">
        <v>50000</v>
      </c>
      <c r="C18" s="7">
        <v>2.4443950814058781</v>
      </c>
      <c r="D18" s="7">
        <v>5.4883597839907683</v>
      </c>
      <c r="E18" s="7">
        <v>57.846870539065961</v>
      </c>
      <c r="F18" s="7">
        <v>19.997677233882047</v>
      </c>
      <c r="G18" s="7">
        <v>2696.7971893747872</v>
      </c>
      <c r="H18" s="7">
        <v>2563.6735368286227</v>
      </c>
      <c r="I18" s="7">
        <v>-1332.5059249220474</v>
      </c>
      <c r="J18" s="7">
        <v>3545.5784560954089</v>
      </c>
    </row>
    <row r="19" spans="1:10">
      <c r="A19" s="5">
        <v>44681</v>
      </c>
      <c r="B19" s="7">
        <v>50000</v>
      </c>
      <c r="C19" s="7">
        <v>2.4339300235633927</v>
      </c>
      <c r="D19" s="7">
        <v>5.4979959892832433</v>
      </c>
      <c r="E19" s="7">
        <v>47.877771528316522</v>
      </c>
      <c r="F19" s="7">
        <v>19.9081591550353</v>
      </c>
      <c r="G19" s="7">
        <v>2690.8171563219389</v>
      </c>
      <c r="H19" s="7">
        <v>2551.3416790431452</v>
      </c>
      <c r="I19" s="7">
        <v>-1429.4399959700663</v>
      </c>
      <c r="J19" s="7">
        <v>3504.4722634771501</v>
      </c>
    </row>
    <row r="20" spans="1:10">
      <c r="A20" s="5">
        <v>44712</v>
      </c>
      <c r="B20" s="7">
        <v>50000</v>
      </c>
      <c r="C20" s="7">
        <v>2.4182540993889887</v>
      </c>
      <c r="D20" s="7">
        <v>5.499658882433204</v>
      </c>
      <c r="E20" s="7">
        <v>36.581810130864959</v>
      </c>
      <c r="F20" s="7">
        <v>19.573114089316739</v>
      </c>
      <c r="G20" s="7">
        <v>2681.8594853651362</v>
      </c>
      <c r="H20" s="7">
        <v>2535.9264647216983</v>
      </c>
      <c r="I20" s="7">
        <v>-1529.1870717137901</v>
      </c>
      <c r="J20" s="7">
        <v>3453.0882157389947</v>
      </c>
    </row>
    <row r="21" spans="1:10">
      <c r="A21" s="5">
        <v>44742</v>
      </c>
      <c r="B21" s="7">
        <v>50000</v>
      </c>
      <c r="C21" s="7">
        <v>2.3976119264364582</v>
      </c>
      <c r="D21" s="7">
        <v>5.4933318483619749</v>
      </c>
      <c r="E21" s="7">
        <v>24.272037389428487</v>
      </c>
      <c r="F21" s="7">
        <v>18.99667414180005</v>
      </c>
      <c r="G21" s="7">
        <v>2670.0639579636904</v>
      </c>
      <c r="H21" s="7">
        <v>2517.7419554111871</v>
      </c>
      <c r="I21" s="7">
        <v>-1627.7705510134156</v>
      </c>
      <c r="J21" s="7">
        <v>3392.4731847039575</v>
      </c>
    </row>
    <row r="22" spans="1:10">
      <c r="A22" s="5">
        <v>44773</v>
      </c>
      <c r="B22" s="7">
        <v>50000</v>
      </c>
      <c r="C22" s="7">
        <v>2.3723256189107724</v>
      </c>
      <c r="D22" s="7">
        <v>5.4790781047025563</v>
      </c>
      <c r="E22" s="7">
        <v>11.289600644789378</v>
      </c>
      <c r="F22" s="7">
        <v>18.185948536513635</v>
      </c>
      <c r="G22" s="7">
        <v>2655.6146393775844</v>
      </c>
      <c r="H22" s="7">
        <v>2497.1586328321159</v>
      </c>
      <c r="I22" s="7">
        <v>-1721.2602216474263</v>
      </c>
      <c r="J22" s="7">
        <v>3323.8621094403861</v>
      </c>
    </row>
    <row r="23" spans="1:10">
      <c r="A23" s="5">
        <v>44804</v>
      </c>
      <c r="B23" s="7">
        <v>50000</v>
      </c>
      <c r="C23" s="7">
        <v>2.3427897611836452</v>
      </c>
      <c r="D23" s="7">
        <v>5.4570400701499313</v>
      </c>
      <c r="E23" s="7">
        <v>-2.005710863613527</v>
      </c>
      <c r="F23" s="7">
        <v>17.150935938502091</v>
      </c>
      <c r="G23" s="7">
        <v>2638.7370063906542</v>
      </c>
      <c r="H23" s="7">
        <v>2474.5958508769972</v>
      </c>
      <c r="I23" s="7">
        <v>-1805.9289454713594</v>
      </c>
      <c r="J23" s="7">
        <v>3248.6528362566573</v>
      </c>
    </row>
    <row r="24" spans="1:10">
      <c r="A24" s="5">
        <v>44834</v>
      </c>
      <c r="B24" s="7">
        <v>50000</v>
      </c>
      <c r="C24" s="7">
        <v>2.3094652504363848</v>
      </c>
      <c r="D24" s="7">
        <v>5.4274379414605454</v>
      </c>
      <c r="E24" s="7">
        <v>-15.245437030038831</v>
      </c>
      <c r="F24" s="7">
        <v>15.904401140460982</v>
      </c>
      <c r="G24" s="7">
        <v>2619.6944288207915</v>
      </c>
      <c r="H24" s="7">
        <v>2450.513291912584</v>
      </c>
      <c r="I24" s="7">
        <v>-1878.4012476539642</v>
      </c>
      <c r="J24" s="7">
        <v>3168.377639708614</v>
      </c>
    </row>
    <row r="25" spans="1:10">
      <c r="A25" s="5">
        <v>44865</v>
      </c>
      <c r="B25" s="7">
        <v>50000</v>
      </c>
      <c r="C25" s="7">
        <v>2.2728721045135312</v>
      </c>
      <c r="D25" s="7">
        <v>5.3905674933190992</v>
      </c>
      <c r="E25" s="7">
        <v>-28.062658215169588</v>
      </c>
      <c r="F25" s="7">
        <v>14.46171763476649</v>
      </c>
      <c r="G25" s="7">
        <v>2598.7840597220179</v>
      </c>
      <c r="H25" s="7">
        <v>2425.4016014507761</v>
      </c>
      <c r="I25" s="7">
        <v>-1935.7878862067942</v>
      </c>
      <c r="J25" s="7">
        <v>3084.6720048359202</v>
      </c>
    </row>
    <row r="26" spans="1:10">
      <c r="A26" s="5">
        <v>44895</v>
      </c>
      <c r="B26" s="7">
        <v>50000</v>
      </c>
      <c r="C26" s="7">
        <v>2.2335813472183164</v>
      </c>
      <c r="D26" s="7">
        <v>5.3467971230556728</v>
      </c>
      <c r="E26" s="7">
        <v>-40.102163887067583</v>
      </c>
      <c r="F26" s="7">
        <v>12.840678012456511</v>
      </c>
      <c r="G26" s="7">
        <v>2576.3321984104664</v>
      </c>
      <c r="H26" s="7">
        <v>2399.772391992532</v>
      </c>
      <c r="I26" s="7">
        <v>-1975.8010369447579</v>
      </c>
      <c r="J26" s="7">
        <v>2999.2413066417735</v>
      </c>
    </row>
    <row r="27" spans="1:10">
      <c r="A27" s="5">
        <v>44926</v>
      </c>
      <c r="B27" s="7">
        <v>50000</v>
      </c>
      <c r="C27" s="7">
        <v>2.1922060976771975</v>
      </c>
      <c r="D27" s="7">
        <v>5.2965641697413766</v>
      </c>
      <c r="E27" s="7">
        <v>-51.030296761348154</v>
      </c>
      <c r="F27" s="7">
        <v>11.061274527509237</v>
      </c>
      <c r="G27" s="7">
        <v>2552.6891986726841</v>
      </c>
      <c r="H27" s="7">
        <v>2374.147819701273</v>
      </c>
      <c r="I27" s="7">
        <v>-1996.8455018167322</v>
      </c>
      <c r="J27" s="7">
        <v>2913.826065670909</v>
      </c>
    </row>
    <row r="28" spans="1:10">
      <c r="A28" s="5">
        <v>44957</v>
      </c>
      <c r="B28" s="7">
        <v>50000</v>
      </c>
      <c r="C28" s="7">
        <v>2.1493920028209534</v>
      </c>
      <c r="D28" s="7">
        <v>5.2403705444409212</v>
      </c>
      <c r="E28" s="7">
        <v>-60.54419962463426</v>
      </c>
      <c r="F28" s="7">
        <v>9.1454525327162397</v>
      </c>
      <c r="G28" s="7">
        <v>2528.2240016119736</v>
      </c>
      <c r="H28" s="7">
        <v>2349.0499462651942</v>
      </c>
      <c r="I28" s="7">
        <v>-1998.0823044179203</v>
      </c>
      <c r="J28" s="7">
        <v>2830.1664875506467</v>
      </c>
    </row>
    <row r="29" spans="1:10">
      <c r="A29" s="5">
        <v>44985</v>
      </c>
      <c r="B29" s="7">
        <v>50000</v>
      </c>
      <c r="C29" s="7">
        <v>2.1058071622802719</v>
      </c>
      <c r="D29" s="7">
        <v>5.1787777152831653</v>
      </c>
      <c r="E29" s="7">
        <v>-68.38020857910719</v>
      </c>
      <c r="F29" s="7">
        <v>7.1168398280213143</v>
      </c>
      <c r="G29" s="7">
        <v>2503.3183784458697</v>
      </c>
      <c r="H29" s="7">
        <v>2324.99010268437</v>
      </c>
      <c r="I29" s="7">
        <v>-1979.4621373315692</v>
      </c>
      <c r="J29" s="7">
        <v>2749.9670089479</v>
      </c>
    </row>
    <row r="30" spans="1:10">
      <c r="A30" s="5">
        <v>45016</v>
      </c>
      <c r="B30" s="7">
        <v>50000</v>
      </c>
      <c r="C30" s="7">
        <v>2.0621317029144621</v>
      </c>
      <c r="D30" s="7">
        <v>5.1124010974571714</v>
      </c>
      <c r="E30" s="7">
        <v>-74.321160101660951</v>
      </c>
      <c r="F30" s="7">
        <v>5.0004552592672535</v>
      </c>
      <c r="G30" s="7">
        <v>2478.3609730939784</v>
      </c>
      <c r="H30" s="7">
        <v>2302.458471679307</v>
      </c>
      <c r="I30" s="7">
        <v>-1941.7273278600765</v>
      </c>
      <c r="J30" s="7">
        <v>2674.8615722643567</v>
      </c>
    </row>
    <row r="31" spans="1:10">
      <c r="A31" s="5">
        <v>45046</v>
      </c>
      <c r="B31" s="7">
        <v>50000</v>
      </c>
      <c r="C31" s="7">
        <v>2.0190471656592925</v>
      </c>
      <c r="D31" s="7">
        <v>5.0419039041870644</v>
      </c>
      <c r="E31" s="7">
        <v>-78.202409413207761</v>
      </c>
      <c r="F31" s="7">
        <v>2.8224001611973444</v>
      </c>
      <c r="G31" s="7">
        <v>2453.7412375195954</v>
      </c>
      <c r="H31" s="7">
        <v>2281.9141009635282</v>
      </c>
      <c r="I31" s="7">
        <v>-1886.3822437779936</v>
      </c>
      <c r="J31" s="7">
        <v>2606.380336545094</v>
      </c>
    </row>
    <row r="32" spans="1:10">
      <c r="A32" s="5">
        <v>45077</v>
      </c>
      <c r="B32" s="7">
        <v>50000</v>
      </c>
      <c r="C32" s="7">
        <v>1.9772258703086332</v>
      </c>
      <c r="D32" s="7">
        <v>4.9679905201247241</v>
      </c>
      <c r="E32" s="7">
        <v>-79.91639336783426</v>
      </c>
      <c r="F32" s="7">
        <v>0.60953645013972824</v>
      </c>
      <c r="G32" s="7">
        <v>2429.8433544620761</v>
      </c>
      <c r="H32" s="7">
        <v>2263.775550844573</v>
      </c>
      <c r="I32" s="7">
        <v>-1815.6333189361608</v>
      </c>
      <c r="J32" s="7">
        <v>2545.9185028152433</v>
      </c>
    </row>
    <row r="33" spans="1:10">
      <c r="A33" s="5">
        <v>45107</v>
      </c>
      <c r="B33" s="7">
        <v>50000</v>
      </c>
      <c r="C33" s="7">
        <v>1.937320424188937</v>
      </c>
      <c r="D33" s="7">
        <v>4.8913994633711866</v>
      </c>
      <c r="E33" s="7">
        <v>-79.415611408012225</v>
      </c>
      <c r="F33" s="7">
        <v>-1.6108446635479297</v>
      </c>
      <c r="G33" s="7">
        <v>2407.040242393678</v>
      </c>
      <c r="H33" s="7">
        <v>2248.4123666943169</v>
      </c>
      <c r="I33" s="7">
        <v>-1732.3010897068787</v>
      </c>
      <c r="J33" s="7">
        <v>2494.7078889810564</v>
      </c>
    </row>
    <row r="34" spans="1:10">
      <c r="A34" s="5">
        <v>45138</v>
      </c>
      <c r="B34" s="7">
        <v>50000</v>
      </c>
      <c r="C34" s="7">
        <v>1.8999535384401798</v>
      </c>
      <c r="D34" s="7">
        <v>4.8128960064478941</v>
      </c>
      <c r="E34" s="7">
        <v>-76.713941973051078</v>
      </c>
      <c r="F34" s="7">
        <v>-3.8113592575097077</v>
      </c>
      <c r="G34" s="7">
        <v>2385.6877362515311</v>
      </c>
      <c r="H34" s="7">
        <v>2236.1375500240592</v>
      </c>
      <c r="I34" s="7">
        <v>-1639.7077490994629</v>
      </c>
      <c r="J34" s="7">
        <v>2453.7918334135302</v>
      </c>
    </row>
    <row r="35" spans="1:10">
      <c r="A35" s="5">
        <v>45169</v>
      </c>
      <c r="B35" s="7">
        <v>50000</v>
      </c>
      <c r="C35" s="7">
        <v>1.8657083108167924</v>
      </c>
      <c r="D35" s="7">
        <v>4.7332645299466325</v>
      </c>
      <c r="E35" s="7">
        <v>-71.88625787845838</v>
      </c>
      <c r="F35" s="7">
        <v>-5.9648684228381876</v>
      </c>
      <c r="G35" s="7">
        <v>2366.119034752453</v>
      </c>
      <c r="H35" s="7">
        <v>2227.2011815547703</v>
      </c>
      <c r="I35" s="7">
        <v>-1541.5447014087481</v>
      </c>
      <c r="J35" s="7">
        <v>2424.0039385159007</v>
      </c>
    </row>
    <row r="36" spans="1:10">
      <c r="A36" s="5">
        <v>45199</v>
      </c>
      <c r="B36" s="7">
        <v>50000</v>
      </c>
      <c r="C36" s="7">
        <v>1.8351191266422253</v>
      </c>
      <c r="D36" s="7">
        <v>4.6533006852579364</v>
      </c>
      <c r="E36" s="7">
        <v>-65.066351325406401</v>
      </c>
      <c r="F36" s="7">
        <v>-8.044812967774531</v>
      </c>
      <c r="G36" s="7">
        <v>2348.6395009384141</v>
      </c>
      <c r="H36" s="7">
        <v>2221.7853262027497</v>
      </c>
      <c r="I36" s="7">
        <v>-1441.7253975747533</v>
      </c>
      <c r="J36" s="7">
        <v>2405.9510873424988</v>
      </c>
    </row>
    <row r="37" spans="1:10">
      <c r="A37" s="5">
        <v>45230</v>
      </c>
      <c r="B37" s="7">
        <v>50000</v>
      </c>
      <c r="C37" s="7">
        <v>1.8086633199047046</v>
      </c>
      <c r="D37" s="7">
        <v>4.5738034446854012</v>
      </c>
      <c r="E37" s="7">
        <v>-56.443226045631356</v>
      </c>
      <c r="F37" s="7">
        <v>-10.025540971766896</v>
      </c>
      <c r="G37" s="7">
        <v>2333.5218970884025</v>
      </c>
      <c r="H37" s="7">
        <v>2220.0003237838573</v>
      </c>
      <c r="I37" s="7">
        <v>-1344.2293182433111</v>
      </c>
      <c r="J37" s="7">
        <v>2400.0010792795238</v>
      </c>
    </row>
    <row r="38" spans="1:10">
      <c r="A38" s="5">
        <v>45260</v>
      </c>
      <c r="B38" s="7">
        <v>50000</v>
      </c>
      <c r="C38" s="7">
        <v>1.7867537246199958</v>
      </c>
      <c r="D38" s="7">
        <v>4.4955671183785348</v>
      </c>
      <c r="E38" s="7">
        <v>-46.255859339544713</v>
      </c>
      <c r="F38" s="7">
        <v>-11.882624150168478</v>
      </c>
      <c r="G38" s="7">
        <v>2321.0021283542833</v>
      </c>
      <c r="H38" s="7">
        <v>2221.8825410075797</v>
      </c>
      <c r="I38" s="7">
        <v>-1252.9433244306958</v>
      </c>
      <c r="J38" s="7">
        <v>2406.2751366919319</v>
      </c>
    </row>
    <row r="39" spans="1:10">
      <c r="A39" s="5">
        <v>45291</v>
      </c>
      <c r="B39" s="7">
        <v>50000</v>
      </c>
      <c r="C39" s="7">
        <v>1.7697322326946632</v>
      </c>
      <c r="D39" s="7">
        <v>4.4193734178483046</v>
      </c>
      <c r="E39" s="7">
        <v>-34.786579170006171</v>
      </c>
      <c r="F39" s="7">
        <v>-13.593159127854923</v>
      </c>
      <c r="G39" s="7">
        <v>2311.2755615398073</v>
      </c>
      <c r="H39" s="7">
        <v>2227.3936305606348</v>
      </c>
      <c r="I39" s="7">
        <v>-1171.5067006406055</v>
      </c>
      <c r="J39" s="7">
        <v>2424.6454352021169</v>
      </c>
    </row>
    <row r="40" spans="1:10">
      <c r="A40" s="5">
        <v>45322</v>
      </c>
      <c r="B40" s="7">
        <v>50000</v>
      </c>
      <c r="C40" s="7">
        <v>1.7578644588172161</v>
      </c>
      <c r="D40" s="7">
        <v>4.3459836453641181</v>
      </c>
      <c r="E40" s="7">
        <v>-22.353239855914069</v>
      </c>
      <c r="F40" s="7">
        <v>-15.136049906158565</v>
      </c>
      <c r="G40" s="7">
        <v>2304.4939764669807</v>
      </c>
      <c r="H40" s="7">
        <v>2236.4213123751588</v>
      </c>
      <c r="I40" s="7">
        <v>-1103.1660680754235</v>
      </c>
      <c r="J40" s="7">
        <v>2454.7377079171961</v>
      </c>
    </row>
    <row r="41" spans="1:10">
      <c r="A41" s="5">
        <v>45351</v>
      </c>
      <c r="B41" s="7">
        <v>50000</v>
      </c>
      <c r="C41" s="7">
        <v>1.7513355956297323</v>
      </c>
      <c r="D41" s="7">
        <v>4.276131087273205</v>
      </c>
      <c r="E41" s="7">
        <v>-9.3004132048183727</v>
      </c>
      <c r="F41" s="7">
        <v>-16.492268039459738</v>
      </c>
      <c r="G41" s="7">
        <v>2300.7631975027043</v>
      </c>
      <c r="H41" s="7">
        <v>2248.7816611643202</v>
      </c>
      <c r="I41" s="7">
        <v>-1050.6459520941867</v>
      </c>
      <c r="J41" s="7">
        <v>2495.9388705477336</v>
      </c>
    </row>
    <row r="42" spans="1:10">
      <c r="A42" s="5">
        <v>45382</v>
      </c>
      <c r="B42" s="7">
        <v>50000</v>
      </c>
      <c r="C42" s="7">
        <v>1.7502475238586177</v>
      </c>
      <c r="D42" s="7">
        <v>4.2105136872458253</v>
      </c>
      <c r="E42" s="7">
        <v>4.0101607905738179</v>
      </c>
      <c r="F42" s="7">
        <v>-17.64508731268165</v>
      </c>
      <c r="G42" s="7">
        <v>2300.1414422049243</v>
      </c>
      <c r="H42" s="7">
        <v>2264.2228536203106</v>
      </c>
      <c r="I42" s="7">
        <v>-1016.0401639842569</v>
      </c>
      <c r="J42" s="7">
        <v>2547.4095120677021</v>
      </c>
    </row>
    <row r="43" spans="1:10">
      <c r="A43" s="5">
        <v>45412</v>
      </c>
      <c r="B43" s="7">
        <v>50000</v>
      </c>
      <c r="C43" s="7">
        <v>1.7546172224999457</v>
      </c>
      <c r="D43" s="7">
        <v>4.1497870726528214</v>
      </c>
      <c r="E43" s="7">
        <v>17.209599047025243</v>
      </c>
      <c r="F43" s="7">
        <v>-18.580290025415238</v>
      </c>
      <c r="G43" s="7">
        <v>2302.6384128571117</v>
      </c>
      <c r="H43" s="7">
        <v>2282.4302989312446</v>
      </c>
      <c r="I43" s="7">
        <v>-1000.7283273126975</v>
      </c>
      <c r="J43" s="7">
        <v>2608.1009964374816</v>
      </c>
    </row>
    <row r="44" spans="1:10">
      <c r="A44" s="5">
        <v>45443</v>
      </c>
      <c r="B44" s="7">
        <v>50000</v>
      </c>
      <c r="C44" s="7">
        <v>1.7643765038679016</v>
      </c>
      <c r="D44" s="7">
        <v>4.094558003753658</v>
      </c>
      <c r="E44" s="7">
        <v>29.932098445697598</v>
      </c>
      <c r="F44" s="7">
        <v>-19.286342338575565</v>
      </c>
      <c r="G44" s="7">
        <v>2308.2151450673723</v>
      </c>
      <c r="H44" s="7">
        <v>2303.0330480904918</v>
      </c>
      <c r="I44" s="7">
        <v>-1005.3208766883091</v>
      </c>
      <c r="J44" s="7">
        <v>2676.7768269683061</v>
      </c>
    </row>
    <row r="45" spans="1:10">
      <c r="A45" s="5">
        <v>45473</v>
      </c>
      <c r="B45" s="7">
        <v>50000</v>
      </c>
      <c r="C45" s="7">
        <v>1.7793730776408148</v>
      </c>
      <c r="D45" s="7">
        <v>4.0453783111484718</v>
      </c>
      <c r="E45" s="7">
        <v>41.825073530374361</v>
      </c>
      <c r="F45" s="7">
        <v>-19.754536521042219</v>
      </c>
      <c r="G45" s="7">
        <v>2316.7846157947515</v>
      </c>
      <c r="H45" s="7">
        <v>2325.6113514185145</v>
      </c>
      <c r="I45" s="7">
        <v>-1029.6347216601134</v>
      </c>
      <c r="J45" s="7">
        <v>2752.0378380617158</v>
      </c>
    </row>
    <row r="46" spans="1:10">
      <c r="A46" s="5">
        <v>45504</v>
      </c>
      <c r="B46" s="7">
        <v>50000</v>
      </c>
      <c r="C46" s="7">
        <v>1.7993729273006929</v>
      </c>
      <c r="D46" s="7">
        <v>4.0027393820691293</v>
      </c>
      <c r="E46" s="7">
        <v>52.558927897503125</v>
      </c>
      <c r="F46" s="7">
        <v>-19.979098341958565</v>
      </c>
      <c r="G46" s="7">
        <v>2328.2131013146818</v>
      </c>
      <c r="H46" s="7">
        <v>2349.7052103241936</v>
      </c>
      <c r="I46" s="7">
        <v>-1072.7005459558598</v>
      </c>
      <c r="J46" s="7">
        <v>2832.3507010806443</v>
      </c>
    </row>
    <row r="47" spans="1:10">
      <c r="A47" s="5">
        <v>45535</v>
      </c>
      <c r="B47" s="7">
        <v>50000</v>
      </c>
      <c r="C47" s="7">
        <v>1.8240639618827164</v>
      </c>
      <c r="D47" s="7">
        <v>3.9670672506004361</v>
      </c>
      <c r="E47" s="7">
        <v>61.83618847827865</v>
      </c>
      <c r="F47" s="7">
        <v>-19.957258284222263</v>
      </c>
      <c r="G47" s="7">
        <v>2342.3222639329806</v>
      </c>
      <c r="H47" s="7">
        <v>2374.8237490765114</v>
      </c>
      <c r="I47" s="7">
        <v>-1132.8014510629432</v>
      </c>
      <c r="J47" s="7">
        <v>2916.0791635883716</v>
      </c>
    </row>
    <row r="48" spans="1:10">
      <c r="A48" s="5">
        <v>45565</v>
      </c>
      <c r="B48" s="7">
        <v>50000</v>
      </c>
      <c r="C48" s="7">
        <v>1.853060886050363</v>
      </c>
      <c r="D48" s="7">
        <v>3.9387183408883875</v>
      </c>
      <c r="E48" s="7">
        <v>69.399749569504479</v>
      </c>
      <c r="F48" s="7">
        <v>-19.689285700892384</v>
      </c>
      <c r="G48" s="7">
        <v>2358.8919348859217</v>
      </c>
      <c r="H48" s="7">
        <v>2400.4552156510058</v>
      </c>
      <c r="I48" s="7">
        <v>-1207.5414035541191</v>
      </c>
      <c r="J48" s="7">
        <v>3001.5173855033531</v>
      </c>
    </row>
    <row r="49" spans="1:10">
      <c r="A49" s="5">
        <v>45596</v>
      </c>
      <c r="B49" s="7">
        <v>50000</v>
      </c>
      <c r="C49" s="7">
        <v>1.8859112125002691</v>
      </c>
      <c r="D49" s="7">
        <v>3.9179759058679227</v>
      </c>
      <c r="E49" s="7">
        <v>75.039998141979112</v>
      </c>
      <c r="F49" s="7">
        <v>-19.17848549326277</v>
      </c>
      <c r="G49" s="7">
        <v>2377.6635500001535</v>
      </c>
      <c r="H49" s="7">
        <v>2426.0774078989457</v>
      </c>
      <c r="I49" s="7">
        <v>-1293.9407573791218</v>
      </c>
      <c r="J49" s="7">
        <v>3086.9246929964856</v>
      </c>
    </row>
    <row r="50" spans="1:10">
      <c r="A50" s="5">
        <v>45626</v>
      </c>
      <c r="B50" s="7">
        <v>50000</v>
      </c>
      <c r="C50" s="7">
        <v>1.9221023228752596</v>
      </c>
      <c r="D50" s="7">
        <v>3.9050471970932286</v>
      </c>
      <c r="E50" s="7">
        <v>78.600622958909852</v>
      </c>
      <c r="F50" s="7">
        <v>-18.431157351570779</v>
      </c>
      <c r="G50" s="7">
        <v>2398.3441845001485</v>
      </c>
      <c r="H50" s="7">
        <v>2451.1683126218973</v>
      </c>
      <c r="I50" s="7">
        <v>-1388.5550429498762</v>
      </c>
      <c r="J50" s="7">
        <v>3170.5610420729913</v>
      </c>
    </row>
    <row r="51" spans="1:10">
      <c r="A51" s="5">
        <v>45657</v>
      </c>
      <c r="B51" s="7">
        <v>50000</v>
      </c>
      <c r="C51" s="7">
        <v>1.9610694670023636</v>
      </c>
      <c r="D51" s="7">
        <v>3.9000613939487194</v>
      </c>
      <c r="E51" s="7">
        <v>79.982946513137691</v>
      </c>
      <c r="F51" s="7">
        <v>-17.456518061025175</v>
      </c>
      <c r="G51" s="7">
        <v>2420.6111240013506</v>
      </c>
      <c r="H51" s="7">
        <v>2475.2167407967181</v>
      </c>
      <c r="I51" s="7">
        <v>-1487.612287273321</v>
      </c>
      <c r="J51" s="7">
        <v>3250.7224693223943</v>
      </c>
    </row>
    <row r="52" spans="1:10">
      <c r="A52" s="5">
        <v>45688</v>
      </c>
      <c r="B52" s="7">
        <v>50000</v>
      </c>
      <c r="C52" s="7">
        <v>2.0022045756303761</v>
      </c>
      <c r="D52" s="7">
        <v>3.9030683129313277</v>
      </c>
      <c r="E52" s="7">
        <v>79.148659729870545</v>
      </c>
      <c r="F52" s="7">
        <v>-16.2665878313516</v>
      </c>
      <c r="G52" s="7">
        <v>2444.1169003602149</v>
      </c>
      <c r="H52" s="7">
        <v>2497.7327422744379</v>
      </c>
      <c r="I52" s="7">
        <v>-1587.1633906114898</v>
      </c>
      <c r="J52" s="7">
        <v>3325.7758075814595</v>
      </c>
    </row>
    <row r="53" spans="1:10">
      <c r="A53" s="5">
        <v>45716</v>
      </c>
      <c r="B53" s="7">
        <v>50000</v>
      </c>
      <c r="C53" s="7">
        <v>2.0448657491471502</v>
      </c>
      <c r="D53" s="7">
        <v>3.914037909900534</v>
      </c>
      <c r="E53" s="7">
        <v>76.120883646640095</v>
      </c>
      <c r="F53" s="7">
        <v>-14.876042051751227</v>
      </c>
      <c r="G53" s="7">
        <v>2468.4947137983713</v>
      </c>
      <c r="H53" s="7">
        <v>2518.2575877693821</v>
      </c>
      <c r="I53" s="7">
        <v>-1683.2395646259642</v>
      </c>
      <c r="J53" s="7">
        <v>3394.1919592312734</v>
      </c>
    </row>
    <row r="54" spans="1:10">
      <c r="A54" s="5">
        <v>45747</v>
      </c>
      <c r="B54" s="7">
        <v>50000</v>
      </c>
      <c r="C54" s="7">
        <v>2.0883872742083551</v>
      </c>
      <c r="D54" s="7">
        <v>3.9328605802694891</v>
      </c>
      <c r="E54" s="7">
        <v>70.983528647575554</v>
      </c>
      <c r="F54" s="7">
        <v>-13.302030299576447</v>
      </c>
      <c r="G54" s="7">
        <v>2493.3641566904885</v>
      </c>
      <c r="H54" s="7">
        <v>2536.3731147706894</v>
      </c>
      <c r="I54" s="7">
        <v>-1772.010555444685</v>
      </c>
      <c r="J54" s="7">
        <v>3454.5770492356323</v>
      </c>
    </row>
    <row r="55" spans="1:10">
      <c r="A55" s="5">
        <v>45777</v>
      </c>
      <c r="B55" s="7">
        <v>50000</v>
      </c>
      <c r="C55" s="7">
        <v>2.1320900119715622</v>
      </c>
      <c r="D55" s="7">
        <v>3.9593482541378142</v>
      </c>
      <c r="E55" s="7">
        <v>63.878969009879221</v>
      </c>
      <c r="F55" s="7">
        <v>-11.563964834886178</v>
      </c>
      <c r="G55" s="7">
        <v>2518.3371496980358</v>
      </c>
      <c r="H55" s="7">
        <v>2551.7102469674915</v>
      </c>
      <c r="I55" s="7">
        <v>-1849.9373437967711</v>
      </c>
      <c r="J55" s="7">
        <v>3505.7008232249714</v>
      </c>
    </row>
    <row r="56" spans="1:10">
      <c r="A56" s="5">
        <v>45808</v>
      </c>
      <c r="B56" s="7">
        <v>50000</v>
      </c>
      <c r="C56" s="7">
        <v>2.1752919958307357</v>
      </c>
      <c r="D56" s="7">
        <v>3.9932362754238775</v>
      </c>
      <c r="E56" s="7">
        <v>55.004097209044936</v>
      </c>
      <c r="F56" s="7">
        <v>-9.6832811893741635</v>
      </c>
      <c r="G56" s="7">
        <v>2543.0239976175631</v>
      </c>
      <c r="H56" s="7">
        <v>2563.9565136174183</v>
      </c>
      <c r="I56" s="7">
        <v>-1913.9132345428268</v>
      </c>
      <c r="J56" s="7">
        <v>3546.5217120580605</v>
      </c>
    </row>
    <row r="57" spans="1:10">
      <c r="A57" s="5">
        <v>45838</v>
      </c>
      <c r="B57" s="7">
        <v>50000</v>
      </c>
      <c r="C57" s="7">
        <v>2.21731907327703</v>
      </c>
      <c r="D57" s="7">
        <v>4.0341860462208796</v>
      </c>
      <c r="E57" s="7">
        <v>44.60486733197834</v>
      </c>
      <c r="F57" s="7">
        <v>-7.683173802322564</v>
      </c>
      <c r="G57" s="7">
        <v>2567.0394704440173</v>
      </c>
      <c r="H57" s="7">
        <v>2572.8624156627416</v>
      </c>
      <c r="I57" s="7">
        <v>-1961.3877108064032</v>
      </c>
      <c r="J57" s="7">
        <v>3576.2080522091383</v>
      </c>
    </row>
    <row r="58" spans="1:10">
      <c r="A58" s="5">
        <v>45869</v>
      </c>
      <c r="B58" s="7">
        <v>50000</v>
      </c>
      <c r="C58" s="7">
        <v>2.2575154258232164</v>
      </c>
      <c r="D58" s="7">
        <v>4.0817884099552106</v>
      </c>
      <c r="E58" s="7">
        <v>32.96947881934053</v>
      </c>
      <c r="F58" s="7">
        <v>-5.5883099639785172</v>
      </c>
      <c r="G58" s="7">
        <v>2590.0088147561237</v>
      </c>
      <c r="H58" s="7">
        <v>2578.2465088942145</v>
      </c>
      <c r="I58" s="7">
        <v>-1990.4681150332458</v>
      </c>
      <c r="J58" s="7">
        <v>3594.1550296473811</v>
      </c>
    </row>
    <row r="59" spans="1:10">
      <c r="A59" s="5">
        <v>45900</v>
      </c>
      <c r="B59" s="7">
        <v>50000</v>
      </c>
      <c r="C59" s="7">
        <v>2.2952538028318292</v>
      </c>
      <c r="D59" s="7">
        <v>4.1355677395436867</v>
      </c>
      <c r="E59" s="7">
        <v>20.420389439721415</v>
      </c>
      <c r="F59" s="7">
        <v>-3.424525594284674</v>
      </c>
      <c r="G59" s="7">
        <v>2611.5736016181881</v>
      </c>
      <c r="H59" s="7">
        <v>2579.9991006008763</v>
      </c>
      <c r="I59" s="7">
        <v>-1999.9951032753518</v>
      </c>
      <c r="J59" s="7">
        <v>3599.9970020029205</v>
      </c>
    </row>
    <row r="60" spans="1:10">
      <c r="A60" s="5">
        <v>45930</v>
      </c>
      <c r="B60" s="7">
        <v>50000</v>
      </c>
      <c r="C60" s="7">
        <v>2.3299453095515763</v>
      </c>
      <c r="D60" s="7">
        <v>4.1949866897021426</v>
      </c>
      <c r="E60" s="7">
        <v>7.3053788443799439</v>
      </c>
      <c r="F60" s="7">
        <v>-1.2185066089198089</v>
      </c>
      <c r="G60" s="7">
        <v>2631.3973197437576</v>
      </c>
      <c r="H60" s="7">
        <v>2578.0844843922087</v>
      </c>
      <c r="I60" s="7">
        <v>-1989.5888645756586</v>
      </c>
      <c r="J60" s="7">
        <v>3593.6149479740288</v>
      </c>
    </row>
    <row r="61" spans="1:10">
      <c r="A61" s="5">
        <v>45961</v>
      </c>
      <c r="B61" s="7">
        <v>50000</v>
      </c>
      <c r="C61" s="7">
        <v>2.3610485966229708</v>
      </c>
      <c r="D61" s="7">
        <v>4.2594515659218901</v>
      </c>
      <c r="E61" s="7">
        <v>-6.0120896369447436</v>
      </c>
      <c r="F61" s="7">
        <v>1.0025401976434545</v>
      </c>
      <c r="G61" s="7">
        <v>2649.1706266416977</v>
      </c>
      <c r="H61" s="7">
        <v>2572.5416676615368</v>
      </c>
      <c r="I61" s="7">
        <v>-1959.664262832338</v>
      </c>
      <c r="J61" s="7">
        <v>3575.1388922051224</v>
      </c>
    </row>
    <row r="62" spans="1:10">
      <c r="A62" s="5">
        <v>45991</v>
      </c>
      <c r="B62" s="7">
        <v>50000</v>
      </c>
      <c r="C62" s="7">
        <v>2.3880783076540268</v>
      </c>
      <c r="D62" s="7">
        <v>4.3283182564689939</v>
      </c>
      <c r="E62" s="7">
        <v>-19.162941850425273</v>
      </c>
      <c r="F62" s="7">
        <v>3.2112226930703636</v>
      </c>
      <c r="G62" s="7">
        <v>2664.6161758023013</v>
      </c>
      <c r="H62" s="7">
        <v>2563.4835768697153</v>
      </c>
      <c r="I62" s="7">
        <v>-1911.4142974843544</v>
      </c>
      <c r="J62" s="7">
        <v>3544.9452562323836</v>
      </c>
    </row>
    <row r="63" spans="1:10">
      <c r="A63" s="5">
        <v>46022</v>
      </c>
      <c r="B63" s="7">
        <v>50000</v>
      </c>
      <c r="C63" s="7">
        <v>2.4106126530444265</v>
      </c>
      <c r="D63" s="7">
        <v>4.4008986681358113</v>
      </c>
      <c r="E63" s="7">
        <v>-31.782721168316982</v>
      </c>
      <c r="F63" s="7">
        <v>5.3803012338641851</v>
      </c>
      <c r="G63" s="7">
        <v>2677.4929445968151</v>
      </c>
      <c r="H63" s="7">
        <v>2551.0947568402385</v>
      </c>
      <c r="I63" s="7">
        <v>-1846.7625423885611</v>
      </c>
      <c r="J63" s="7">
        <v>3503.6491894674614</v>
      </c>
    </row>
    <row r="64" spans="1:10">
      <c r="A64" s="5">
        <v>46053</v>
      </c>
      <c r="B64" s="7">
        <v>50000</v>
      </c>
      <c r="C64" s="7">
        <v>2.4282999918711585</v>
      </c>
      <c r="D64" s="7">
        <v>4.4764676014408593</v>
      </c>
      <c r="E64" s="7">
        <v>-43.521688871149578</v>
      </c>
      <c r="F64" s="7">
        <v>7.4830246114243995</v>
      </c>
      <c r="G64" s="7">
        <v>2687.5999953549476</v>
      </c>
      <c r="H64" s="7">
        <v>2535.6276109391347</v>
      </c>
      <c r="I64" s="7">
        <v>-1768.2864590002175</v>
      </c>
      <c r="J64" s="7">
        <v>3452.0920364637827</v>
      </c>
    </row>
    <row r="65" spans="1:10">
      <c r="A65" s="5">
        <v>46081</v>
      </c>
      <c r="B65" s="7">
        <v>50000</v>
      </c>
      <c r="C65" s="7">
        <v>2.4408643191275163</v>
      </c>
      <c r="D65" s="7">
        <v>4.5542699965823239</v>
      </c>
      <c r="E65" s="7">
        <v>-54.054516644626311</v>
      </c>
      <c r="F65" s="7">
        <v>9.4934599742453756</v>
      </c>
      <c r="G65" s="7">
        <v>2694.7796109300093</v>
      </c>
      <c r="H65" s="7">
        <v>2517.3972587402613</v>
      </c>
      <c r="I65" s="7">
        <v>-1679.1146411184143</v>
      </c>
      <c r="J65" s="7">
        <v>3391.3241958008716</v>
      </c>
    </row>
    <row r="66" spans="1:10">
      <c r="A66" s="5">
        <v>46112</v>
      </c>
      <c r="B66" s="7">
        <v>50000</v>
      </c>
      <c r="C66" s="7">
        <v>2.4481095726889119</v>
      </c>
      <c r="D66" s="7">
        <v>4.6335284777460028</v>
      </c>
      <c r="E66" s="7">
        <v>-63.089302577857936</v>
      </c>
      <c r="F66" s="7">
        <v>11.386812657331255</v>
      </c>
      <c r="G66" s="7">
        <v>2698.9197558222354</v>
      </c>
      <c r="H66" s="7">
        <v>2496.7751159432514</v>
      </c>
      <c r="I66" s="7">
        <v>-1582.8020877241547</v>
      </c>
      <c r="J66" s="7">
        <v>3322.5837198108375</v>
      </c>
    </row>
    <row r="67" spans="1:10">
      <c r="A67" s="5">
        <v>46142</v>
      </c>
      <c r="B67" s="7">
        <v>50000</v>
      </c>
      <c r="C67" s="7">
        <v>2.4499226927967572</v>
      </c>
      <c r="D67" s="7">
        <v>4.7134511203874796</v>
      </c>
      <c r="E67" s="7">
        <v>-70.375660797733602</v>
      </c>
      <c r="F67" s="7">
        <v>13.139731974375781</v>
      </c>
      <c r="G67" s="7">
        <v>2699.95582445529</v>
      </c>
      <c r="H67" s="7">
        <v>2474.1813273435164</v>
      </c>
      <c r="I67" s="7">
        <v>-1483.1884763894316</v>
      </c>
      <c r="J67" s="7">
        <v>3247.271091145054</v>
      </c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>
      <selection sqref="A1:E1"/>
    </sheetView>
  </sheetViews>
  <sheetFormatPr defaultRowHeight="14.25"/>
  <cols>
    <col min="1" max="1" width="9" customWidth="1"/>
    <col min="2" max="2" width="14.25" customWidth="1"/>
    <col min="3" max="3" width="13.75" customWidth="1"/>
    <col min="4" max="4" width="14.875" customWidth="1"/>
    <col min="5" max="5" width="55" customWidth="1"/>
  </cols>
  <sheetData>
    <row r="1" spans="1:5" ht="27.95" customHeight="1">
      <c r="A1" s="10" t="s">
        <v>126</v>
      </c>
      <c r="B1" s="10" t="s">
        <v>126</v>
      </c>
      <c r="C1" s="10" t="s">
        <v>126</v>
      </c>
      <c r="D1" s="10" t="s">
        <v>126</v>
      </c>
      <c r="E1" s="10" t="s">
        <v>126</v>
      </c>
    </row>
    <row r="3" spans="1:5" ht="25.5">
      <c r="A3" s="3" t="s">
        <v>127</v>
      </c>
      <c r="B3" s="3" t="s">
        <v>128</v>
      </c>
      <c r="C3" s="3" t="s">
        <v>129</v>
      </c>
      <c r="D3" s="3" t="s">
        <v>130</v>
      </c>
      <c r="E3" s="3" t="s">
        <v>131</v>
      </c>
    </row>
    <row r="4" spans="1:5">
      <c r="A4" t="s">
        <v>132</v>
      </c>
      <c r="B4" s="4">
        <v>0</v>
      </c>
      <c r="C4" s="4">
        <v>0</v>
      </c>
      <c r="D4" s="4">
        <v>0</v>
      </c>
      <c r="E4" t="s">
        <v>133</v>
      </c>
    </row>
    <row r="5" spans="1:5">
      <c r="A5" t="s">
        <v>134</v>
      </c>
      <c r="B5" s="4">
        <v>100</v>
      </c>
      <c r="C5" s="4">
        <v>2</v>
      </c>
      <c r="D5" s="4">
        <v>1</v>
      </c>
      <c r="E5" t="s">
        <v>135</v>
      </c>
    </row>
    <row r="6" spans="1:5">
      <c r="A6" t="s">
        <v>136</v>
      </c>
      <c r="B6" s="4">
        <v>200</v>
      </c>
      <c r="C6" s="4">
        <v>5</v>
      </c>
      <c r="D6" s="4">
        <v>2</v>
      </c>
      <c r="E6" t="s">
        <v>137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7"/>
  <sheetViews>
    <sheetView workbookViewId="0">
      <selection activeCell="G13" sqref="G13"/>
    </sheetView>
  </sheetViews>
  <sheetFormatPr defaultRowHeight="14.25"/>
  <cols>
    <col min="1" max="1" width="13.25" customWidth="1"/>
    <col min="2" max="2" width="7.125" customWidth="1"/>
    <col min="3" max="4" width="10.875" customWidth="1"/>
    <col min="5" max="5" width="14.75" customWidth="1"/>
    <col min="6" max="6" width="17.125" customWidth="1"/>
    <col min="7" max="7" width="14.125" customWidth="1"/>
    <col min="8" max="8" width="18.75" customWidth="1"/>
    <col min="9" max="9" width="16.5" customWidth="1"/>
    <col min="10" max="10" width="18.375" customWidth="1"/>
    <col min="11" max="11" width="15.75" customWidth="1"/>
  </cols>
  <sheetData>
    <row r="1" spans="1:11" ht="27.95" customHeight="1">
      <c r="A1" s="10" t="s">
        <v>138</v>
      </c>
      <c r="B1" s="10" t="s">
        <v>138</v>
      </c>
      <c r="C1" s="10" t="s">
        <v>138</v>
      </c>
      <c r="D1" s="10" t="s">
        <v>138</v>
      </c>
      <c r="E1" s="10" t="s">
        <v>138</v>
      </c>
      <c r="F1" s="10" t="s">
        <v>138</v>
      </c>
      <c r="G1" s="10" t="s">
        <v>138</v>
      </c>
      <c r="H1" s="10" t="s">
        <v>138</v>
      </c>
      <c r="I1" s="10" t="s">
        <v>138</v>
      </c>
      <c r="J1" s="10" t="s">
        <v>138</v>
      </c>
      <c r="K1" s="10" t="s">
        <v>138</v>
      </c>
    </row>
    <row r="3" spans="1:11" ht="25.5">
      <c r="A3" s="3" t="s">
        <v>75</v>
      </c>
      <c r="B3" s="3" t="s">
        <v>77</v>
      </c>
      <c r="C3" s="3" t="s">
        <v>83</v>
      </c>
      <c r="D3" s="3" t="s">
        <v>87</v>
      </c>
      <c r="E3" s="3" t="s">
        <v>89</v>
      </c>
      <c r="F3" s="3" t="s">
        <v>90</v>
      </c>
      <c r="G3" s="3" t="s">
        <v>139</v>
      </c>
      <c r="H3" s="3" t="s">
        <v>140</v>
      </c>
      <c r="I3" s="3" t="s">
        <v>141</v>
      </c>
      <c r="J3" s="3" t="s">
        <v>142</v>
      </c>
      <c r="K3" s="3" t="s">
        <v>143</v>
      </c>
    </row>
    <row r="4" spans="1:11">
      <c r="A4" s="5">
        <f>INPUT_MACRO!A4</f>
        <v>44227</v>
      </c>
      <c r="B4" s="4">
        <f>INPUT_MACRO!C4</f>
        <v>2.2000000000000002</v>
      </c>
      <c r="C4" s="4">
        <f>INPUT_MACRO!I4</f>
        <v>23000</v>
      </c>
      <c r="D4" s="4">
        <f>INPUT_MACRO!M4</f>
        <v>2.5</v>
      </c>
      <c r="E4" s="4">
        <f>INPUT_MACRO!O4</f>
        <v>10.5</v>
      </c>
      <c r="F4" s="4">
        <f>INPUT_MACRO!P4</f>
        <v>11.482941969615794</v>
      </c>
      <c r="G4" s="4">
        <f>0</f>
        <v>0</v>
      </c>
      <c r="H4" s="4">
        <f t="shared" ref="H4:H35" si="0">E4-F4</f>
        <v>-0.98294196961579416</v>
      </c>
      <c r="I4" s="4">
        <f>IF(D4&gt;=CONFIG!B7,100,IF(D4&gt;=CONFIG!B6,65,30))</f>
        <v>30</v>
      </c>
      <c r="J4" s="4">
        <f t="shared" ref="J4:J35" si="1">IF(B4&gt;=4.5,100,IF(B4&gt;=3.5,65,30))</f>
        <v>30</v>
      </c>
      <c r="K4" s="4">
        <f t="shared" ref="K4:K35" si="2">MAX(0,100-0.35*I4-0.35*J4-0.3*ABS(G4)*15)</f>
        <v>79</v>
      </c>
    </row>
    <row r="5" spans="1:11">
      <c r="A5" s="5">
        <f>INPUT_MACRO!A5</f>
        <v>44255</v>
      </c>
      <c r="B5" s="4">
        <f>INPUT_MACRO!C5</f>
        <v>2.3852356799139343</v>
      </c>
      <c r="C5" s="4">
        <f>INPUT_MACRO!I5</f>
        <v>23069.474033173356</v>
      </c>
      <c r="D5" s="4">
        <f>INPUT_MACRO!M5</f>
        <v>2.732254585770781</v>
      </c>
      <c r="E5" s="4">
        <f>INPUT_MACRO!O5</f>
        <v>10.729616858287704</v>
      </c>
      <c r="F5" s="4">
        <f>INPUT_MACRO!P5</f>
        <v>11.574093978518913</v>
      </c>
      <c r="G5" s="4">
        <f t="shared" ref="G5:G36" si="3">IFERROR((C5/C4-1)*100,0)</f>
        <v>0.30206101379719463</v>
      </c>
      <c r="H5" s="4">
        <f t="shared" si="0"/>
        <v>-0.84447712023120935</v>
      </c>
      <c r="I5" s="4">
        <f>IF(D5&gt;=CONFIG!B7,100,IF(D5&gt;=CONFIG!B6,65,30))</f>
        <v>30</v>
      </c>
      <c r="J5" s="4">
        <f t="shared" si="1"/>
        <v>30</v>
      </c>
      <c r="K5" s="4">
        <f t="shared" si="2"/>
        <v>77.640725437912621</v>
      </c>
    </row>
    <row r="6" spans="1:11">
      <c r="A6" s="5">
        <f>INPUT_MACRO!A6</f>
        <v>44286</v>
      </c>
      <c r="B6" s="4">
        <f>INPUT_MACRO!C6</f>
        <v>2.5685568408385713</v>
      </c>
      <c r="C6" s="4">
        <f>INPUT_MACRO!I6</f>
        <v>23137.798674199039</v>
      </c>
      <c r="D6" s="4">
        <f>INPUT_MACRO!M6</f>
        <v>2.9580725755146129</v>
      </c>
      <c r="E6" s="4">
        <f>INPUT_MACRO!O6</f>
        <v>10.956939460828641</v>
      </c>
      <c r="F6" s="4">
        <f>INPUT_MACRO!P6</f>
        <v>11.650594148684412</v>
      </c>
      <c r="G6" s="4">
        <f t="shared" si="3"/>
        <v>0.29616904541227562</v>
      </c>
      <c r="H6" s="4">
        <f t="shared" si="0"/>
        <v>-0.693654687855771</v>
      </c>
      <c r="I6" s="4">
        <f>IF(D6&gt;=CONFIG!B7,100,IF(D6&gt;=CONFIG!B6,65,30))</f>
        <v>30</v>
      </c>
      <c r="J6" s="4">
        <f t="shared" si="1"/>
        <v>30</v>
      </c>
      <c r="K6" s="4">
        <f t="shared" si="2"/>
        <v>77.667239295644762</v>
      </c>
    </row>
    <row r="7" spans="1:11">
      <c r="A7" s="5">
        <f>INPUT_MACRO!A7</f>
        <v>44316</v>
      </c>
      <c r="B7" s="4">
        <f>INPUT_MACRO!C7</f>
        <v>2.7480725755146129</v>
      </c>
      <c r="C7" s="4">
        <f>INPUT_MACRO!I7</f>
        <v>23203.856384651051</v>
      </c>
      <c r="D7" s="4">
        <f>INPUT_MACRO!M7</f>
        <v>3.1711957540458844</v>
      </c>
      <c r="E7" s="4">
        <f>INPUT_MACRO!O7</f>
        <v>11.17969647532108</v>
      </c>
      <c r="F7" s="4">
        <f>INPUT_MACRO!P7</f>
        <v>11.711810682603121</v>
      </c>
      <c r="G7" s="4">
        <f t="shared" si="3"/>
        <v>0.28549695406276943</v>
      </c>
      <c r="H7" s="4">
        <f t="shared" si="0"/>
        <v>-0.5321142072820404</v>
      </c>
      <c r="I7" s="4">
        <f>IF(D7&gt;=CONFIG!B7,100,IF(D7&gt;=CONFIG!B6,65,30))</f>
        <v>30</v>
      </c>
      <c r="J7" s="4">
        <f t="shared" si="1"/>
        <v>30</v>
      </c>
      <c r="K7" s="4">
        <f t="shared" si="2"/>
        <v>77.715263706717536</v>
      </c>
    </row>
    <row r="8" spans="1:11">
      <c r="A8" s="5">
        <f>INPUT_MACRO!A8</f>
        <v>44347</v>
      </c>
      <c r="B8" s="4">
        <f>INPUT_MACRO!C8</f>
        <v>2.9219389089396981</v>
      </c>
      <c r="C8" s="4">
        <f>INPUT_MACRO!I8</f>
        <v>23266.592450767435</v>
      </c>
      <c r="D8" s="4">
        <f>INPUT_MACRO!M8</f>
        <v>3.3657177242976317</v>
      </c>
      <c r="E8" s="4">
        <f>INPUT_MACRO!O8</f>
        <v>11.395662187309895</v>
      </c>
      <c r="F8" s="4">
        <f>INPUT_MACRO!P8</f>
        <v>11.75723800684211</v>
      </c>
      <c r="G8" s="4">
        <f t="shared" si="3"/>
        <v>0.27036913639011395</v>
      </c>
      <c r="H8" s="4">
        <f t="shared" si="0"/>
        <v>-0.36157581953221474</v>
      </c>
      <c r="I8" s="4">
        <f>IF(D8&gt;=CONFIG!B7,100,IF(D8&gt;=CONFIG!B6,65,30))</f>
        <v>30</v>
      </c>
      <c r="J8" s="4">
        <f t="shared" si="1"/>
        <v>30</v>
      </c>
      <c r="K8" s="4">
        <f t="shared" si="2"/>
        <v>77.783338886244493</v>
      </c>
    </row>
    <row r="9" spans="1:11">
      <c r="A9" s="5">
        <f>INPUT_MACRO!A9</f>
        <v>44377</v>
      </c>
      <c r="B9" s="4">
        <f>INPUT_MACRO!C9</f>
        <v>3.0883815400806118</v>
      </c>
      <c r="C9" s="4">
        <f>INPUT_MACRO!I9</f>
        <v>23325.04421329901</v>
      </c>
      <c r="D9" s="4">
        <f>INPUT_MACRO!M9</f>
        <v>3.5362475944744518</v>
      </c>
      <c r="E9" s="4">
        <f>INPUT_MACRO!O9</f>
        <v>11.602678738789667</v>
      </c>
      <c r="F9" s="4">
        <f>INPUT_MACRO!P9</f>
        <v>11.786500947460716</v>
      </c>
      <c r="G9" s="4">
        <f t="shared" si="3"/>
        <v>0.25122614175350222</v>
      </c>
      <c r="H9" s="4">
        <f t="shared" si="0"/>
        <v>-0.18382220867104948</v>
      </c>
      <c r="I9" s="4">
        <f>IF(D9&gt;=CONFIG!B7,100,IF(D9&gt;=CONFIG!B6,65,30))</f>
        <v>30</v>
      </c>
      <c r="J9" s="4">
        <f t="shared" si="1"/>
        <v>30</v>
      </c>
      <c r="K9" s="4">
        <f t="shared" si="2"/>
        <v>77.869482362109238</v>
      </c>
    </row>
    <row r="10" spans="1:11">
      <c r="A10" s="5">
        <f>INPUT_MACRO!A10</f>
        <v>44408</v>
      </c>
      <c r="B10" s="4">
        <f>INPUT_MACRO!C10</f>
        <v>3.2457177242976321</v>
      </c>
      <c r="C10" s="4">
        <f>INPUT_MACRO!I10</f>
        <v>23378.367746201973</v>
      </c>
      <c r="D10" s="4">
        <f>INPUT_MACRO!M10</f>
        <v>3.6780593787310547</v>
      </c>
      <c r="E10" s="4">
        <f>INPUT_MACRO!O10</f>
        <v>11.798677688808581</v>
      </c>
      <c r="F10" s="4">
        <f>INPUT_MACRO!P10</f>
        <v>11.799357828486796</v>
      </c>
      <c r="G10" s="4">
        <f t="shared" si="3"/>
        <v>0.22861064020003319</v>
      </c>
      <c r="H10" s="4">
        <f t="shared" si="0"/>
        <v>-6.8013967821478616E-4</v>
      </c>
      <c r="I10" s="4">
        <f>IF(D10&gt;=CONFIG!B7,100,IF(D10&gt;=CONFIG!B6,65,30))</f>
        <v>30</v>
      </c>
      <c r="J10" s="4">
        <f t="shared" si="1"/>
        <v>30</v>
      </c>
      <c r="K10" s="4">
        <f t="shared" si="2"/>
        <v>77.971252119099844</v>
      </c>
    </row>
    <row r="11" spans="1:11">
      <c r="A11" s="5">
        <f>INPUT_MACRO!A11</f>
        <v>44439</v>
      </c>
      <c r="B11" s="4">
        <f>INPUT_MACRO!C11</f>
        <v>3.3923770266054296</v>
      </c>
      <c r="C11" s="4">
        <f>INPUT_MACRO!I11</f>
        <v>23425.861244813437</v>
      </c>
      <c r="D11" s="4">
        <f>INPUT_MACRO!M11</f>
        <v>3.7872229709552574</v>
      </c>
      <c r="E11" s="4">
        <f>INPUT_MACRO!O11</f>
        <v>11.981700680646689</v>
      </c>
      <c r="F11" s="4">
        <f>INPUT_MACRO!P11</f>
        <v>11.795702467863624</v>
      </c>
      <c r="G11" s="4">
        <f t="shared" si="3"/>
        <v>0.20315147373441977</v>
      </c>
      <c r="H11" s="4">
        <f t="shared" si="0"/>
        <v>0.1859982127830655</v>
      </c>
      <c r="I11" s="4">
        <f>IF(D11&gt;=CONFIG!B7,100,IF(D11&gt;=CONFIG!B6,65,30))</f>
        <v>30</v>
      </c>
      <c r="J11" s="4">
        <f t="shared" si="1"/>
        <v>30</v>
      </c>
      <c r="K11" s="4">
        <f t="shared" si="2"/>
        <v>78.085818368195106</v>
      </c>
    </row>
    <row r="12" spans="1:11">
      <c r="A12" s="5">
        <f>INPUT_MACRO!A12</f>
        <v>44469</v>
      </c>
      <c r="B12" s="4">
        <f>INPUT_MACRO!C12</f>
        <v>3.5269206898209244</v>
      </c>
      <c r="C12" s="4">
        <f>INPUT_MACRO!I12</f>
        <v>23466.984475340829</v>
      </c>
      <c r="D12" s="4">
        <f>INPUT_MACRO!M12</f>
        <v>3.8607130619086378</v>
      </c>
      <c r="E12" s="4">
        <f>INPUT_MACRO!O12</f>
        <v>12.149919009068903</v>
      </c>
      <c r="F12" s="4">
        <f>INPUT_MACRO!P12</f>
        <v>11.775565054383353</v>
      </c>
      <c r="G12" s="4">
        <f t="shared" si="3"/>
        <v>0.17554629090317242</v>
      </c>
      <c r="H12" s="4">
        <f t="shared" si="0"/>
        <v>0.37435395468554944</v>
      </c>
      <c r="I12" s="4">
        <f>IF(D12&gt;=CONFIG!B7,100,IF(D12&gt;=CONFIG!B6,65,30))</f>
        <v>30</v>
      </c>
      <c r="J12" s="4">
        <f t="shared" si="1"/>
        <v>65</v>
      </c>
      <c r="K12" s="4">
        <f t="shared" si="2"/>
        <v>65.960041690935725</v>
      </c>
    </row>
    <row r="13" spans="1:11">
      <c r="A13" s="5">
        <f>INPUT_MACRO!A13</f>
        <v>44500</v>
      </c>
      <c r="B13" s="4">
        <f>INPUT_MACRO!C13</f>
        <v>3.6480593787310549</v>
      </c>
      <c r="C13" s="4">
        <f>INPUT_MACRO!I13</f>
        <v>23501.373746651014</v>
      </c>
      <c r="D13" s="4">
        <f>INPUT_MACRO!M13</f>
        <v>3.8964929812456761</v>
      </c>
      <c r="E13" s="4">
        <f>INPUT_MACRO!O13</f>
        <v>12.301651892143212</v>
      </c>
      <c r="F13" s="4">
        <f>INPUT_MACRO!P13</f>
        <v>11.739111898364648</v>
      </c>
      <c r="G13" s="4">
        <f t="shared" si="3"/>
        <v>0.14654320561007239</v>
      </c>
      <c r="H13" s="4">
        <f t="shared" si="0"/>
        <v>0.56253999377856445</v>
      </c>
      <c r="I13" s="4">
        <f>IF(D13&gt;=CONFIG!B7,100,IF(D13&gt;=CONFIG!B6,65,30))</f>
        <v>30</v>
      </c>
      <c r="J13" s="4">
        <f t="shared" si="1"/>
        <v>65</v>
      </c>
      <c r="K13" s="4">
        <f t="shared" si="2"/>
        <v>66.090555574754674</v>
      </c>
    </row>
    <row r="14" spans="1:11">
      <c r="A14" s="5">
        <f>INPUT_MACRO!A14</f>
        <v>44530</v>
      </c>
      <c r="B14" s="4">
        <f>INPUT_MACRO!C14</f>
        <v>3.7546690814419388</v>
      </c>
      <c r="C14" s="4">
        <f>INPUT_MACRO!I14</f>
        <v>23528.851989437942</v>
      </c>
      <c r="D14" s="4">
        <f>INPUT_MACRO!M14</f>
        <v>3.8935711408524707</v>
      </c>
      <c r="E14" s="4">
        <f>INPUT_MACRO!O14</f>
        <v>12.435383265058162</v>
      </c>
      <c r="F14" s="4">
        <f>INPUT_MACRO!P14</f>
        <v>11.686644058133577</v>
      </c>
      <c r="G14" s="4">
        <f t="shared" si="3"/>
        <v>0.11692185777372188</v>
      </c>
      <c r="H14" s="4">
        <f t="shared" si="0"/>
        <v>0.74873920692458462</v>
      </c>
      <c r="I14" s="4">
        <f>IF(D14&gt;=CONFIG!B7,100,IF(D14&gt;=CONFIG!B6,65,30))</f>
        <v>30</v>
      </c>
      <c r="J14" s="4">
        <f t="shared" si="1"/>
        <v>65</v>
      </c>
      <c r="K14" s="4">
        <f t="shared" si="2"/>
        <v>66.223851640018253</v>
      </c>
    </row>
    <row r="15" spans="1:11">
      <c r="A15" s="5">
        <f>INPUT_MACRO!A15</f>
        <v>44561</v>
      </c>
      <c r="B15" s="4">
        <f>INPUT_MACRO!C15</f>
        <v>3.8458049717983669</v>
      </c>
      <c r="C15" s="4">
        <f>INPUT_MACRO!I15</f>
        <v>23549.433663439377</v>
      </c>
      <c r="D15" s="4">
        <f>INPUT_MACRO!M15</f>
        <v>3.8520285152604998</v>
      </c>
      <c r="E15" s="4">
        <f>INPUT_MACRO!O15</f>
        <v>12.549776928141302</v>
      </c>
      <c r="F15" s="4">
        <f>INPUT_MACRO!P15</f>
        <v>11.618594853651365</v>
      </c>
      <c r="G15" s="4">
        <f t="shared" si="3"/>
        <v>8.7474195556480616E-2</v>
      </c>
      <c r="H15" s="4">
        <f t="shared" si="0"/>
        <v>0.93118207448993751</v>
      </c>
      <c r="I15" s="4">
        <f>IF(D15&gt;=CONFIG!B7,100,IF(D15&gt;=CONFIG!B6,65,30))</f>
        <v>30</v>
      </c>
      <c r="J15" s="4">
        <f t="shared" si="1"/>
        <v>65</v>
      </c>
      <c r="K15" s="4">
        <f t="shared" si="2"/>
        <v>66.35636611999584</v>
      </c>
    </row>
    <row r="16" spans="1:11">
      <c r="A16" s="5">
        <f>INPUT_MACRO!A16</f>
        <v>44592</v>
      </c>
      <c r="B16" s="4">
        <f>INPUT_MACRO!C16</f>
        <v>3.9207130619086379</v>
      </c>
      <c r="C16" s="4">
        <f>INPUT_MACRO!I16</f>
        <v>23563.32435670642</v>
      </c>
      <c r="D16" s="4">
        <f>INPUT_MACRO!M16</f>
        <v>3.7730163975559545</v>
      </c>
      <c r="E16" s="4">
        <f>INPUT_MACRO!O16</f>
        <v>12.64368989772462</v>
      </c>
      <c r="F16" s="4">
        <f>INPUT_MACRO!P16</f>
        <v>11.535526287823361</v>
      </c>
      <c r="G16" s="4">
        <f t="shared" si="3"/>
        <v>5.898525402165955E-2</v>
      </c>
      <c r="H16" s="4">
        <f t="shared" si="0"/>
        <v>1.1081636099012595</v>
      </c>
      <c r="I16" s="4">
        <f>IF(D16&gt;=CONFIG!B7,100,IF(D16&gt;=CONFIG!B6,65,30))</f>
        <v>30</v>
      </c>
      <c r="J16" s="4">
        <f t="shared" si="1"/>
        <v>65</v>
      </c>
      <c r="K16" s="4">
        <f t="shared" si="2"/>
        <v>66.484566356902533</v>
      </c>
    </row>
    <row r="17" spans="1:11">
      <c r="A17" s="5">
        <f>INPUT_MACRO!A17</f>
        <v>44620</v>
      </c>
      <c r="B17" s="4">
        <f>INPUT_MACRO!C17</f>
        <v>3.9788395010643538</v>
      </c>
      <c r="C17" s="4">
        <f>INPUT_MACRO!I17</f>
        <v>23570.915088031492</v>
      </c>
      <c r="D17" s="4">
        <f>INPUT_MACRO!M17</f>
        <v>3.6587244929763445</v>
      </c>
      <c r="E17" s="4">
        <f>INPUT_MACRO!O17</f>
        <v>12.716183826459543</v>
      </c>
      <c r="F17" s="4">
        <f>INPUT_MACRO!P17</f>
        <v>11.438124405044857</v>
      </c>
      <c r="G17" s="4">
        <f t="shared" si="3"/>
        <v>3.2214178314404762E-2</v>
      </c>
      <c r="H17" s="4">
        <f t="shared" si="0"/>
        <v>1.278059421414687</v>
      </c>
      <c r="I17" s="4">
        <f>IF(D17&gt;=CONFIG!B7,100,IF(D17&gt;=CONFIG!B6,65,30))</f>
        <v>30</v>
      </c>
      <c r="J17" s="4">
        <f t="shared" si="1"/>
        <v>65</v>
      </c>
      <c r="K17" s="4">
        <f t="shared" si="2"/>
        <v>66.605036197585179</v>
      </c>
    </row>
    <row r="18" spans="1:11">
      <c r="A18" s="5">
        <f>INPUT_MACRO!A18</f>
        <v>44651</v>
      </c>
      <c r="B18" s="4">
        <f>INPUT_MACRO!C18</f>
        <v>4.0198374063717432</v>
      </c>
      <c r="C18" s="4">
        <f>INPUT_MACRO!I18</f>
        <v>23572.771470434582</v>
      </c>
      <c r="D18" s="4">
        <f>INPUT_MACRO!M18</f>
        <v>3.5123202344336546</v>
      </c>
      <c r="E18" s="4">
        <f>INPUT_MACRO!O18</f>
        <v>12.766534378973457</v>
      </c>
      <c r="F18" s="4">
        <f>INPUT_MACRO!P18</f>
        <v>11.327193625316418</v>
      </c>
      <c r="G18" s="4">
        <f t="shared" si="3"/>
        <v>7.8757332761858478E-3</v>
      </c>
      <c r="H18" s="4">
        <f t="shared" si="0"/>
        <v>1.4393407536570386</v>
      </c>
      <c r="I18" s="4">
        <f>IF(D18&gt;=CONFIG!B7,100,IF(D18&gt;=CONFIG!B6,65,30))</f>
        <v>30</v>
      </c>
      <c r="J18" s="4">
        <f t="shared" si="1"/>
        <v>65</v>
      </c>
      <c r="K18" s="4">
        <f t="shared" si="2"/>
        <v>66.71455920025717</v>
      </c>
    </row>
    <row r="19" spans="1:11">
      <c r="A19" s="5">
        <f>INPUT_MACRO!A19</f>
        <v>44681</v>
      </c>
      <c r="B19" s="4">
        <f>INPUT_MACRO!C19</f>
        <v>4.043571140852471</v>
      </c>
      <c r="C19" s="4">
        <f>INPUT_MACRO!I19</f>
        <v>23569.61803602599</v>
      </c>
      <c r="D19" s="4">
        <f>INPUT_MACRO!M19</f>
        <v>3.337861001745539</v>
      </c>
      <c r="E19" s="4">
        <f>INPUT_MACRO!O19</f>
        <v>12.794238469189326</v>
      </c>
      <c r="F19" s="4">
        <f>INPUT_MACRO!P19</f>
        <v>11.203650100722044</v>
      </c>
      <c r="G19" s="4">
        <f t="shared" si="3"/>
        <v>-1.3377444449191866E-2</v>
      </c>
      <c r="H19" s="4">
        <f t="shared" si="0"/>
        <v>1.5905883684672819</v>
      </c>
      <c r="I19" s="4">
        <f>IF(D19&gt;=CONFIG!B7,100,IF(D19&gt;=CONFIG!B6,65,30))</f>
        <v>30</v>
      </c>
      <c r="J19" s="4">
        <f t="shared" si="1"/>
        <v>65</v>
      </c>
      <c r="K19" s="4">
        <f t="shared" si="2"/>
        <v>66.689801499978643</v>
      </c>
    </row>
    <row r="20" spans="1:11">
      <c r="A20" s="5">
        <f>INPUT_MACRO!A20</f>
        <v>44712</v>
      </c>
      <c r="B20" s="4">
        <f>INPUT_MACRO!C20</f>
        <v>4.0501179862521717</v>
      </c>
      <c r="C20" s="4">
        <f>INPUT_MACRO!I20</f>
        <v>23562.318156658952</v>
      </c>
      <c r="D20" s="4">
        <f>INPUT_MACRO!M20</f>
        <v>3.140181677290137</v>
      </c>
      <c r="E20" s="4">
        <f>INPUT_MACRO!O20</f>
        <v>12.799019286995462</v>
      </c>
      <c r="F20" s="4">
        <f>INPUT_MACRO!P20</f>
        <v>11.068514149137417</v>
      </c>
      <c r="G20" s="4">
        <f t="shared" si="3"/>
        <v>-3.0971564137693974E-2</v>
      </c>
      <c r="H20" s="4">
        <f t="shared" si="0"/>
        <v>1.7305051378580441</v>
      </c>
      <c r="I20" s="4">
        <f>IF(D20&gt;=CONFIG!B7,100,IF(D20&gt;=CONFIG!B6,65,30))</f>
        <v>30</v>
      </c>
      <c r="J20" s="4">
        <f t="shared" si="1"/>
        <v>65</v>
      </c>
      <c r="K20" s="4">
        <f t="shared" si="2"/>
        <v>66.610627961380374</v>
      </c>
    </row>
    <row r="21" spans="1:11">
      <c r="A21" s="5">
        <f>INPUT_MACRO!A21</f>
        <v>44742</v>
      </c>
      <c r="B21" s="4">
        <f>INPUT_MACRO!C21</f>
        <v>4.0397671899260033</v>
      </c>
      <c r="C21" s="4">
        <f>INPUT_MACRO!I21</f>
        <v>23551.850116841964</v>
      </c>
      <c r="D21" s="4">
        <f>INPUT_MACRO!M21</f>
        <v>2.9247606543149987</v>
      </c>
      <c r="E21" s="4">
        <f>INPUT_MACRO!O21</f>
        <v>12.780829064040677</v>
      </c>
      <c r="F21" s="4">
        <f>INPUT_MACRO!P21</f>
        <v>10.922901827656609</v>
      </c>
      <c r="G21" s="4">
        <f t="shared" si="3"/>
        <v>-4.4427037048688778E-2</v>
      </c>
      <c r="H21" s="4">
        <f t="shared" si="0"/>
        <v>1.857927236384068</v>
      </c>
      <c r="I21" s="4">
        <f>IF(D21&gt;=CONFIG!B7,100,IF(D21&gt;=CONFIG!B6,65,30))</f>
        <v>30</v>
      </c>
      <c r="J21" s="4">
        <f t="shared" si="1"/>
        <v>65</v>
      </c>
      <c r="K21" s="4">
        <f t="shared" si="2"/>
        <v>66.550078333280894</v>
      </c>
    </row>
    <row r="22" spans="1:11">
      <c r="A22" s="5">
        <f>INPUT_MACRO!A22</f>
        <v>44773</v>
      </c>
      <c r="B22" s="4">
        <f>INPUT_MACRO!C22</f>
        <v>4.0130163975559547</v>
      </c>
      <c r="C22" s="4">
        <f>INPUT_MACRO!I22</f>
        <v>23539.280002014966</v>
      </c>
      <c r="D22" s="4">
        <f>INPUT_MACRO!M22</f>
        <v>2.6975680112838143</v>
      </c>
      <c r="E22" s="4">
        <f>INPUT_MACRO!O22</f>
        <v>12.739849551019848</v>
      </c>
      <c r="F22" s="4">
        <f>INPUT_MACRO!P22</f>
        <v>10.768015715330327</v>
      </c>
      <c r="G22" s="4">
        <f t="shared" si="3"/>
        <v>-5.3372090789627347E-2</v>
      </c>
      <c r="H22" s="4">
        <f t="shared" si="0"/>
        <v>1.9718338356895213</v>
      </c>
      <c r="I22" s="4">
        <f>IF(D22&gt;=CONFIG!B7,100,IF(D22&gt;=CONFIG!B6,65,30))</f>
        <v>30</v>
      </c>
      <c r="J22" s="4">
        <f t="shared" si="1"/>
        <v>65</v>
      </c>
      <c r="K22" s="4">
        <f t="shared" si="2"/>
        <v>66.509825591446671</v>
      </c>
    </row>
    <row r="23" spans="1:11">
      <c r="A23" s="5">
        <f>INPUT_MACRO!A23</f>
        <v>44804</v>
      </c>
      <c r="B23" s="4">
        <f>INPUT_MACRO!C23</f>
        <v>3.9705655156951463</v>
      </c>
      <c r="C23" s="4">
        <f>INPUT_MACRO!I23</f>
        <v>23525.732153551209</v>
      </c>
      <c r="D23" s="4">
        <f>INPUT_MACRO!M23</f>
        <v>2.4649000598867632</v>
      </c>
      <c r="E23" s="4">
        <f>INPUT_MACRO!O23</f>
        <v>12.676490201681053</v>
      </c>
      <c r="F23" s="4">
        <f>INPUT_MACRO!P23</f>
        <v>10.605134981338994</v>
      </c>
      <c r="G23" s="4">
        <f t="shared" si="3"/>
        <v>-5.7554217727118218E-2</v>
      </c>
      <c r="H23" s="4">
        <f t="shared" si="0"/>
        <v>2.0713552203420598</v>
      </c>
      <c r="I23" s="4">
        <f>IF(D23&gt;=CONFIG!B7,100,IF(D23&gt;=CONFIG!B6,65,30))</f>
        <v>30</v>
      </c>
      <c r="J23" s="4">
        <f t="shared" si="1"/>
        <v>65</v>
      </c>
      <c r="K23" s="4">
        <f t="shared" si="2"/>
        <v>66.491006020227971</v>
      </c>
    </row>
    <row r="24" spans="1:11">
      <c r="A24" s="5">
        <f>INPUT_MACRO!A24</f>
        <v>44834</v>
      </c>
      <c r="B24" s="4">
        <f>INPUT_MACRO!C24</f>
        <v>3.913308079832269</v>
      </c>
      <c r="C24" s="4">
        <f>INPUT_MACRO!I24</f>
        <v>23512.358009281128</v>
      </c>
      <c r="D24" s="4">
        <f>INPUT_MACRO!M24</f>
        <v>2.2332048519743206</v>
      </c>
      <c r="E24" s="4">
        <f>INPUT_MACRO!O24</f>
        <v>12.591384081699069</v>
      </c>
      <c r="F24" s="4">
        <f>INPUT_MACRO!P24</f>
        <v>10.435604820625382</v>
      </c>
      <c r="G24" s="4">
        <f t="shared" si="3"/>
        <v>-5.684900339248955E-2</v>
      </c>
      <c r="H24" s="4">
        <f t="shared" si="0"/>
        <v>2.1557792610736861</v>
      </c>
      <c r="I24" s="4">
        <f>IF(D24&gt;=CONFIG!B7,100,IF(D24&gt;=CONFIG!B6,65,30))</f>
        <v>30</v>
      </c>
      <c r="J24" s="4">
        <f t="shared" si="1"/>
        <v>65</v>
      </c>
      <c r="K24" s="4">
        <f t="shared" si="2"/>
        <v>66.494179484733792</v>
      </c>
    </row>
    <row r="25" spans="1:11">
      <c r="A25" s="5">
        <f>INPUT_MACRO!A25</f>
        <v>44865</v>
      </c>
      <c r="B25" s="4">
        <f>INPUT_MACRO!C25</f>
        <v>3.8423202344336547</v>
      </c>
      <c r="C25" s="4">
        <f>INPUT_MACRO!I25</f>
        <v>23500.304193077594</v>
      </c>
      <c r="D25" s="4">
        <f>INPUT_MACRO!M25</f>
        <v>2.0089034812345323</v>
      </c>
      <c r="E25" s="4">
        <f>INPUT_MACRO!O25</f>
        <v>12.485381543292409</v>
      </c>
      <c r="F25" s="4">
        <f>INPUT_MACRO!P25</f>
        <v>10.260825344235478</v>
      </c>
      <c r="G25" s="4">
        <f t="shared" si="3"/>
        <v>-5.1265875582429121E-2</v>
      </c>
      <c r="H25" s="4">
        <f t="shared" si="0"/>
        <v>2.2245561990569307</v>
      </c>
      <c r="I25" s="4">
        <f>IF(D25&gt;=CONFIG!B7,100,IF(D25&gt;=CONFIG!B6,65,30))</f>
        <v>30</v>
      </c>
      <c r="J25" s="4">
        <f t="shared" si="1"/>
        <v>65</v>
      </c>
      <c r="K25" s="4">
        <f t="shared" si="2"/>
        <v>66.519303559879063</v>
      </c>
    </row>
    <row r="26" spans="1:11">
      <c r="A26" s="5">
        <f>INPUT_MACRO!A26</f>
        <v>44895</v>
      </c>
      <c r="B26" s="4">
        <f>INPUT_MACRO!C26</f>
        <v>3.758847460871956</v>
      </c>
      <c r="C26" s="4">
        <f>INPUT_MACRO!I26</f>
        <v>23490.680737852912</v>
      </c>
      <c r="D26" s="4">
        <f>INPUT_MACRO!M26</f>
        <v>1.7982121319763174</v>
      </c>
      <c r="E26" s="4">
        <f>INPUT_MACRO!O26</f>
        <v>12.359541728785057</v>
      </c>
      <c r="F26" s="4">
        <f>INPUT_MACRO!P26</f>
        <v>10.082240016119735</v>
      </c>
      <c r="G26" s="4">
        <f t="shared" si="3"/>
        <v>-4.0950343219459118E-2</v>
      </c>
      <c r="H26" s="4">
        <f t="shared" si="0"/>
        <v>2.2773017126653219</v>
      </c>
      <c r="I26" s="4">
        <f>IF(D26&gt;=CONFIG!B7,100,IF(D26&gt;=CONFIG!B6,65,30))</f>
        <v>30</v>
      </c>
      <c r="J26" s="4">
        <f t="shared" si="1"/>
        <v>65</v>
      </c>
      <c r="K26" s="4">
        <f t="shared" si="2"/>
        <v>66.56572345551244</v>
      </c>
    </row>
    <row r="27" spans="1:11">
      <c r="A27" s="5">
        <f>INPUT_MACRO!A27</f>
        <v>44926</v>
      </c>
      <c r="B27" s="4">
        <f>INPUT_MACRO!C27</f>
        <v>3.6642892169256469</v>
      </c>
      <c r="C27" s="4">
        <f>INPUT_MACRO!I27</f>
        <v>23484.530322620787</v>
      </c>
      <c r="D27" s="4">
        <f>INPUT_MACRO!M27</f>
        <v>1.6069698066764073</v>
      </c>
      <c r="E27" s="4">
        <f>INPUT_MACRO!O27</f>
        <v>12.215121988006457</v>
      </c>
      <c r="F27" s="4">
        <f>INPUT_MACRO!P27</f>
        <v>9.9013237318925569</v>
      </c>
      <c r="G27" s="4">
        <f t="shared" si="3"/>
        <v>-2.6182362702731332E-2</v>
      </c>
      <c r="H27" s="4">
        <f t="shared" si="0"/>
        <v>2.3137982561139001</v>
      </c>
      <c r="I27" s="4">
        <f>IF(D27&gt;=CONFIG!B7,100,IF(D27&gt;=CONFIG!B6,65,30))</f>
        <v>30</v>
      </c>
      <c r="J27" s="4">
        <f t="shared" si="1"/>
        <v>65</v>
      </c>
      <c r="K27" s="4">
        <f t="shared" si="2"/>
        <v>66.632179367837708</v>
      </c>
    </row>
    <row r="28" spans="1:11">
      <c r="A28" s="5">
        <f>INPUT_MACRO!A28</f>
        <v>44957</v>
      </c>
      <c r="B28" s="4">
        <f>INPUT_MACRO!C28</f>
        <v>3.5601816772901369</v>
      </c>
      <c r="C28" s="4">
        <f>INPUT_MACRO!I28</f>
        <v>23482.799376173018</v>
      </c>
      <c r="D28" s="4">
        <f>INPUT_MACRO!M28</f>
        <v>1.4404765065689007</v>
      </c>
      <c r="E28" s="4">
        <f>INPUT_MACRO!O28</f>
        <v>12.053565315267647</v>
      </c>
      <c r="F28" s="4">
        <f>INPUT_MACRO!P28</f>
        <v>9.719570638004809</v>
      </c>
      <c r="G28" s="4">
        <f t="shared" si="3"/>
        <v>-7.370581501908724E-3</v>
      </c>
      <c r="H28" s="4">
        <f t="shared" si="0"/>
        <v>2.3339946772628384</v>
      </c>
      <c r="I28" s="4">
        <f>IF(D28&gt;=CONFIG!B7,100,IF(D28&gt;=CONFIG!B6,65,30))</f>
        <v>30</v>
      </c>
      <c r="J28" s="4">
        <f t="shared" si="1"/>
        <v>65</v>
      </c>
      <c r="K28" s="4">
        <f t="shared" si="2"/>
        <v>66.71683238324141</v>
      </c>
    </row>
    <row r="29" spans="1:11">
      <c r="A29" s="5">
        <f>INPUT_MACRO!A29</f>
        <v>44985</v>
      </c>
      <c r="B29" s="4">
        <f>INPUT_MACRO!C29</f>
        <v>3.448178787961492</v>
      </c>
      <c r="C29" s="4">
        <f>INPUT_MACRO!I29</f>
        <v>23486.311848190289</v>
      </c>
      <c r="D29" s="4">
        <f>INPUT_MACRO!M29</f>
        <v>1.3033463498656241</v>
      </c>
      <c r="E29" s="4">
        <f>INPUT_MACRO!O29</f>
        <v>11.876485931439101</v>
      </c>
      <c r="F29" s="4">
        <f>INPUT_MACRO!P29</f>
        <v>9.5384817919280493</v>
      </c>
      <c r="G29" s="4">
        <f t="shared" si="3"/>
        <v>1.4957637549950498E-2</v>
      </c>
      <c r="H29" s="4">
        <f t="shared" si="0"/>
        <v>2.3380041395110513</v>
      </c>
      <c r="I29" s="4">
        <f>IF(D29&gt;=CONFIG!B7,100,IF(D29&gt;=CONFIG!B6,65,30))</f>
        <v>30</v>
      </c>
      <c r="J29" s="4">
        <f t="shared" si="1"/>
        <v>30</v>
      </c>
      <c r="K29" s="4">
        <f t="shared" si="2"/>
        <v>78.932690631025224</v>
      </c>
    </row>
    <row r="30" spans="1:11">
      <c r="A30" s="5">
        <f>INPUT_MACRO!A30</f>
        <v>45016</v>
      </c>
      <c r="B30" s="4">
        <f>INPUT_MACRO!C30</f>
        <v>3.3300318681487076</v>
      </c>
      <c r="C30" s="4">
        <f>INPUT_MACRO!I30</f>
        <v>23495.746374682309</v>
      </c>
      <c r="D30" s="4">
        <f>INPUT_MACRO!M30</f>
        <v>1.1993796982209335</v>
      </c>
      <c r="E30" s="4">
        <f>INPUT_MACRO!O30</f>
        <v>11.685653155189367</v>
      </c>
      <c r="F30" s="4">
        <f>INPUT_MACRO!P30</f>
        <v>9.3595527652622241</v>
      </c>
      <c r="G30" s="4">
        <f t="shared" si="3"/>
        <v>4.0170319431176438E-2</v>
      </c>
      <c r="H30" s="4">
        <f t="shared" si="0"/>
        <v>2.3261003899271433</v>
      </c>
      <c r="I30" s="4">
        <f>IF(D30&gt;=CONFIG!B7,100,IF(D30&gt;=CONFIG!B6,65,30))</f>
        <v>30</v>
      </c>
      <c r="J30" s="4">
        <f t="shared" si="1"/>
        <v>30</v>
      </c>
      <c r="K30" s="4">
        <f t="shared" si="2"/>
        <v>78.819233562559702</v>
      </c>
    </row>
    <row r="31" spans="1:11">
      <c r="A31" s="5">
        <f>INPUT_MACRO!A31</f>
        <v>45046</v>
      </c>
      <c r="B31" s="4">
        <f>INPUT_MACRO!C31</f>
        <v>3.2075680112838145</v>
      </c>
      <c r="C31" s="4">
        <f>INPUT_MACRO!I31</f>
        <v>23511.617470583726</v>
      </c>
      <c r="D31" s="4">
        <f>INPUT_MACRO!M31</f>
        <v>1.1314578352688642</v>
      </c>
      <c r="E31" s="4">
        <f>INPUT_MACRO!O31</f>
        <v>11.482973724537809</v>
      </c>
      <c r="F31" s="4">
        <f>INPUT_MACRO!P31</f>
        <v>9.1842612921499001</v>
      </c>
      <c r="G31" s="4">
        <f t="shared" si="3"/>
        <v>6.7548804997819012E-2</v>
      </c>
      <c r="H31" s="4">
        <f t="shared" si="0"/>
        <v>2.2987124323879087</v>
      </c>
      <c r="I31" s="4">
        <f>IF(D31&gt;=CONFIG!B7,100,IF(D31&gt;=CONFIG!B6,65,30))</f>
        <v>30</v>
      </c>
      <c r="J31" s="4">
        <f t="shared" si="1"/>
        <v>30</v>
      </c>
      <c r="K31" s="4">
        <f t="shared" si="2"/>
        <v>78.696030377509814</v>
      </c>
    </row>
    <row r="32" spans="1:11">
      <c r="A32" s="5">
        <f>INPUT_MACRO!A32</f>
        <v>45077</v>
      </c>
      <c r="B32" s="4">
        <f>INPUT_MACRO!C32</f>
        <v>3.0826675515097812</v>
      </c>
      <c r="C32" s="4">
        <f>INPUT_MACRO!I32</f>
        <v>23534.261270725518</v>
      </c>
      <c r="D32" s="4">
        <f>INPUT_MACRO!M32</f>
        <v>1.1014631160629005</v>
      </c>
      <c r="E32" s="4">
        <f>INPUT_MACRO!O32</f>
        <v>11.270472745358582</v>
      </c>
      <c r="F32" s="4">
        <f>INPUT_MACRO!P32</f>
        <v>9.0140550650060352</v>
      </c>
      <c r="G32" s="4">
        <f t="shared" si="3"/>
        <v>9.6308984994863955E-2</v>
      </c>
      <c r="H32" s="4">
        <f t="shared" si="0"/>
        <v>2.2564176803525466</v>
      </c>
      <c r="I32" s="4">
        <f>IF(D32&gt;=CONFIG!B7,100,IF(D32&gt;=CONFIG!B6,65,30))</f>
        <v>30</v>
      </c>
      <c r="J32" s="4">
        <f t="shared" si="1"/>
        <v>30</v>
      </c>
      <c r="K32" s="4">
        <f t="shared" si="2"/>
        <v>78.566609567523116</v>
      </c>
    </row>
    <row r="33" spans="1:11">
      <c r="A33" s="5">
        <f>INPUT_MACRO!A33</f>
        <v>45107</v>
      </c>
      <c r="B33" s="4">
        <f>INPUT_MACRO!C33</f>
        <v>2.9572408735516453</v>
      </c>
      <c r="C33" s="4">
        <f>INPUT_MACRO!I33</f>
        <v>23563.826214349963</v>
      </c>
      <c r="D33" s="4">
        <f>INPUT_MACRO!M33</f>
        <v>1.1102268003597862</v>
      </c>
      <c r="E33" s="4">
        <f>INPUT_MACRO!O33</f>
        <v>11.05027345719216</v>
      </c>
      <c r="F33" s="4">
        <f>INPUT_MACRO!P33</f>
        <v>8.8503397783555222</v>
      </c>
      <c r="G33" s="4">
        <f t="shared" si="3"/>
        <v>0.12562511856373249</v>
      </c>
      <c r="H33" s="4">
        <f t="shared" si="0"/>
        <v>2.1999336788366382</v>
      </c>
      <c r="I33" s="4">
        <f>IF(D33&gt;=CONFIG!B7,100,IF(D33&gt;=CONFIG!B6,65,30))</f>
        <v>30</v>
      </c>
      <c r="J33" s="4">
        <f t="shared" si="1"/>
        <v>30</v>
      </c>
      <c r="K33" s="4">
        <f t="shared" si="2"/>
        <v>78.434686966463204</v>
      </c>
    </row>
    <row r="34" spans="1:11">
      <c r="A34" s="5">
        <f>INPUT_MACRO!A34</f>
        <v>45138</v>
      </c>
      <c r="B34" s="4">
        <f>INPUT_MACRO!C34</f>
        <v>2.8332048519743207</v>
      </c>
      <c r="C34" s="4">
        <f>INPUT_MACRO!I34</f>
        <v>23600.268931334216</v>
      </c>
      <c r="D34" s="4">
        <f>INPUT_MACRO!M34</f>
        <v>1.1575060154716061</v>
      </c>
      <c r="E34" s="4">
        <f>INPUT_MACRO!O34</f>
        <v>10.824576018537694</v>
      </c>
      <c r="F34" s="4">
        <f>INPUT_MACRO!P34</f>
        <v>8.6944675195217673</v>
      </c>
      <c r="G34" s="4">
        <f t="shared" si="3"/>
        <v>0.15465534609171439</v>
      </c>
      <c r="H34" s="4">
        <f t="shared" si="0"/>
        <v>2.1301084990159271</v>
      </c>
      <c r="I34" s="4">
        <f>IF(D34&gt;=CONFIG!B7,100,IF(D34&gt;=CONFIG!B6,65,30))</f>
        <v>30</v>
      </c>
      <c r="J34" s="4">
        <f t="shared" si="1"/>
        <v>30</v>
      </c>
      <c r="K34" s="4">
        <f t="shared" si="2"/>
        <v>78.304050942587281</v>
      </c>
    </row>
    <row r="35" spans="1:11">
      <c r="A35" s="5">
        <f>INPUT_MACRO!A35</f>
        <v>45169</v>
      </c>
      <c r="B35" s="4">
        <f>INPUT_MACRO!C35</f>
        <v>2.712459210401327</v>
      </c>
      <c r="C35" s="4">
        <f>INPUT_MACRO!I35</f>
        <v>23643.355444129818</v>
      </c>
      <c r="D35" s="4">
        <f>INPUT_MACRO!M35</f>
        <v>1.2419904871269785</v>
      </c>
      <c r="E35" s="4">
        <f>INPUT_MACRO!O35</f>
        <v>10.595635523596568</v>
      </c>
      <c r="F35" s="4">
        <f>INPUT_MACRO!P35</f>
        <v>8.5477256020449524</v>
      </c>
      <c r="G35" s="4">
        <f t="shared" si="3"/>
        <v>0.18256788903958654</v>
      </c>
      <c r="H35" s="4">
        <f t="shared" si="0"/>
        <v>2.0479099215516161</v>
      </c>
      <c r="I35" s="4">
        <f>IF(D35&gt;=CONFIG!B7,100,IF(D35&gt;=CONFIG!B6,65,30))</f>
        <v>30</v>
      </c>
      <c r="J35" s="4">
        <f t="shared" si="1"/>
        <v>30</v>
      </c>
      <c r="K35" s="4">
        <f t="shared" si="2"/>
        <v>78.178444499321856</v>
      </c>
    </row>
    <row r="36" spans="1:11">
      <c r="A36" s="5">
        <f>INPUT_MACRO!A36</f>
        <v>45199</v>
      </c>
      <c r="B36" s="4">
        <f>INPUT_MACRO!C36</f>
        <v>2.5968630922557829</v>
      </c>
      <c r="C36" s="4">
        <f>INPUT_MACRO!I36</f>
        <v>23692.667652108106</v>
      </c>
      <c r="D36" s="4">
        <f>INPUT_MACRO!M36</f>
        <v>1.3613388518053882</v>
      </c>
      <c r="E36" s="4">
        <f>INPUT_MACRO!O36</f>
        <v>10.365739470116566</v>
      </c>
      <c r="F36" s="4">
        <f>INPUT_MACRO!P36</f>
        <v>8.4113259340522397</v>
      </c>
      <c r="G36" s="4">
        <f t="shared" si="3"/>
        <v>0.20856687662127449</v>
      </c>
      <c r="H36" s="4">
        <f t="shared" ref="H36:H67" si="4">E36-F36</f>
        <v>1.954413536064326</v>
      </c>
      <c r="I36" s="4">
        <f>IF(D36&gt;=CONFIG!B7,100,IF(D36&gt;=CONFIG!B6,65,30))</f>
        <v>30</v>
      </c>
      <c r="J36" s="4">
        <f t="shared" ref="J36:J67" si="5">IF(B36&gt;=4.5,100,IF(B36&gt;=3.5,65,30))</f>
        <v>30</v>
      </c>
      <c r="K36" s="4">
        <f t="shared" ref="K36:K67" si="6">MAX(0,100-0.35*I36-0.35*J36-0.3*ABS(G36)*15)</f>
        <v>78.061449055204264</v>
      </c>
    </row>
    <row r="37" spans="1:11">
      <c r="A37" s="5">
        <f>INPUT_MACRO!A37</f>
        <v>45230</v>
      </c>
      <c r="B37" s="4">
        <f>INPUT_MACRO!C37</f>
        <v>2.4882121319763177</v>
      </c>
      <c r="C37" s="4">
        <f>INPUT_MACRO!I37</f>
        <v>23747.614918607404</v>
      </c>
      <c r="D37" s="4">
        <f>INPUT_MACRO!M37</f>
        <v>1.5122435442014512</v>
      </c>
      <c r="E37" s="4">
        <f>INPUT_MACRO!O37</f>
        <v>10.13718490347053</v>
      </c>
      <c r="F37" s="4">
        <f>INPUT_MACRO!P37</f>
        <v>8.2863950093841439</v>
      </c>
      <c r="G37" s="4">
        <f t="shared" ref="G37:G67" si="7">IFERROR((C37/C36-1)*100,0)</f>
        <v>0.23191675714240301</v>
      </c>
      <c r="H37" s="4">
        <f t="shared" si="4"/>
        <v>1.8507898940863861</v>
      </c>
      <c r="I37" s="4">
        <f>IF(D37&gt;=CONFIG!B7,100,IF(D37&gt;=CONFIG!B6,65,30))</f>
        <v>30</v>
      </c>
      <c r="J37" s="4">
        <f t="shared" si="5"/>
        <v>30</v>
      </c>
      <c r="K37" s="4">
        <f t="shared" si="6"/>
        <v>77.956374592859191</v>
      </c>
    </row>
    <row r="38" spans="1:11">
      <c r="A38" s="5">
        <f>INPUT_MACRO!A38</f>
        <v>45260</v>
      </c>
      <c r="B38" s="4">
        <f>INPUT_MACRO!C38</f>
        <v>2.3882163094882065</v>
      </c>
      <c r="C38" s="4">
        <f>INPUT_MACRO!I38</f>
        <v>23807.450439563923</v>
      </c>
      <c r="D38" s="4">
        <f>INPUT_MACRO!M38</f>
        <v>1.6905224615579675</v>
      </c>
      <c r="E38" s="4">
        <f>INPUT_MACRO!O38</f>
        <v>9.9122554653382888</v>
      </c>
      <c r="F38" s="4">
        <f>INPUT_MACRO!P38</f>
        <v>8.1739646041380674</v>
      </c>
      <c r="G38" s="4">
        <f t="shared" si="7"/>
        <v>0.25196433899403736</v>
      </c>
      <c r="H38" s="4">
        <f t="shared" si="4"/>
        <v>1.7382908612002215</v>
      </c>
      <c r="I38" s="4">
        <f>IF(D38&gt;=CONFIG!B7,100,IF(D38&gt;=CONFIG!B6,65,30))</f>
        <v>30</v>
      </c>
      <c r="J38" s="4">
        <f t="shared" si="5"/>
        <v>30</v>
      </c>
      <c r="K38" s="4">
        <f t="shared" si="6"/>
        <v>77.866160474526836</v>
      </c>
    </row>
    <row r="39" spans="1:11">
      <c r="A39" s="5">
        <f>INPUT_MACRO!A39</f>
        <v>45291</v>
      </c>
      <c r="B39" s="4">
        <f>INPUT_MACRO!C39</f>
        <v>2.2984788610501559</v>
      </c>
      <c r="C39" s="4">
        <f>INPUT_MACRO!I39</f>
        <v>23871.291940093732</v>
      </c>
      <c r="D39" s="4">
        <f>INPUT_MACRO!M39</f>
        <v>1.891234864524892</v>
      </c>
      <c r="E39" s="4">
        <f>INPUT_MACRO!O39</f>
        <v>9.6931985763138737</v>
      </c>
      <c r="F39" s="4">
        <f>INPUT_MACRO!P39</f>
        <v>8.0749632554641337</v>
      </c>
      <c r="G39" s="4">
        <f t="shared" si="7"/>
        <v>0.26815765380618917</v>
      </c>
      <c r="H39" s="4">
        <f t="shared" si="4"/>
        <v>1.61823532084974</v>
      </c>
      <c r="I39" s="4">
        <f>IF(D39&gt;=CONFIG!B7,100,IF(D39&gt;=CONFIG!B6,65,30))</f>
        <v>30</v>
      </c>
      <c r="J39" s="4">
        <f t="shared" si="5"/>
        <v>30</v>
      </c>
      <c r="K39" s="4">
        <f t="shared" si="6"/>
        <v>77.793290557872155</v>
      </c>
    </row>
    <row r="40" spans="1:11">
      <c r="A40" s="5">
        <f>INPUT_MACRO!A40</f>
        <v>45322</v>
      </c>
      <c r="B40" s="4">
        <f>INPUT_MACRO!C40</f>
        <v>2.2204765065689012</v>
      </c>
      <c r="C40" s="4">
        <f>INPUT_MACRO!I40</f>
        <v>23938.146125450268</v>
      </c>
      <c r="D40" s="4">
        <f>INPUT_MACRO!M40</f>
        <v>2.1088183025215037</v>
      </c>
      <c r="E40" s="4">
        <f>INPUT_MACRO!O40</f>
        <v>9.4822029804218388</v>
      </c>
      <c r="F40" s="4">
        <f>INPUT_MACRO!P40</f>
        <v>7.990208592988024</v>
      </c>
      <c r="G40" s="4">
        <f t="shared" si="7"/>
        <v>0.28006102696205293</v>
      </c>
      <c r="H40" s="4">
        <f t="shared" si="4"/>
        <v>1.4919943874338149</v>
      </c>
      <c r="I40" s="4">
        <f>IF(D40&gt;=CONFIG!B7,100,IF(D40&gt;=CONFIG!B6,65,30))</f>
        <v>30</v>
      </c>
      <c r="J40" s="4">
        <f t="shared" si="5"/>
        <v>30</v>
      </c>
      <c r="K40" s="4">
        <f t="shared" si="6"/>
        <v>77.739725378670755</v>
      </c>
    </row>
    <row r="41" spans="1:11">
      <c r="A41" s="5">
        <f>INPUT_MACRO!A41</f>
        <v>45351</v>
      </c>
      <c r="B41" s="4">
        <f>INPUT_MACRO!C41</f>
        <v>2.1555412372378187</v>
      </c>
      <c r="C41" s="4">
        <f>INPUT_MACRO!I41</f>
        <v>24006.936208734944</v>
      </c>
      <c r="D41" s="4">
        <f>INPUT_MACRO!M41</f>
        <v>2.3372427689156785</v>
      </c>
      <c r="E41" s="4">
        <f>INPUT_MACRO!O41</f>
        <v>9.2813768759104658</v>
      </c>
      <c r="F41" s="4">
        <f>INPUT_MACRO!P41</f>
        <v>7.9204005861938249</v>
      </c>
      <c r="G41" s="4">
        <f t="shared" si="7"/>
        <v>0.28736595943634757</v>
      </c>
      <c r="H41" s="4">
        <f t="shared" si="4"/>
        <v>1.3609762897166409</v>
      </c>
      <c r="I41" s="4">
        <f>IF(D41&gt;=CONFIG!B7,100,IF(D41&gt;=CONFIG!B6,65,30))</f>
        <v>30</v>
      </c>
      <c r="J41" s="4">
        <f t="shared" si="5"/>
        <v>30</v>
      </c>
      <c r="K41" s="4">
        <f t="shared" si="6"/>
        <v>77.706853182536435</v>
      </c>
    </row>
    <row r="42" spans="1:11">
      <c r="A42" s="5">
        <f>INPUT_MACRO!A42</f>
        <v>45382</v>
      </c>
      <c r="B42" s="4">
        <f>INPUT_MACRO!C42</f>
        <v>2.1048438881122848</v>
      </c>
      <c r="C42" s="4">
        <f>INPUT_MACRO!I42</f>
        <v>24076.531752470542</v>
      </c>
      <c r="D42" s="4">
        <f>INPUT_MACRO!M42</f>
        <v>2.5701778138350417</v>
      </c>
      <c r="E42" s="4">
        <f>INPUT_MACRO!O42</f>
        <v>9.0927268508317471</v>
      </c>
      <c r="F42" s="4">
        <f>INPUT_MACRO!P42</f>
        <v>7.8661157635352277</v>
      </c>
      <c r="G42" s="4">
        <f t="shared" si="7"/>
        <v>0.2898976492896832</v>
      </c>
      <c r="H42" s="4">
        <f t="shared" si="4"/>
        <v>1.2266110872965195</v>
      </c>
      <c r="I42" s="4">
        <f>IF(D42&gt;=CONFIG!B7,100,IF(D42&gt;=CONFIG!B6,65,30))</f>
        <v>30</v>
      </c>
      <c r="J42" s="4">
        <f t="shared" si="5"/>
        <v>30</v>
      </c>
      <c r="K42" s="4">
        <f t="shared" si="6"/>
        <v>77.695460578196432</v>
      </c>
    </row>
    <row r="43" spans="1:11">
      <c r="A43" s="5">
        <f>INPUT_MACRO!A43</f>
        <v>45412</v>
      </c>
      <c r="B43" s="4">
        <f>INPUT_MACRO!C43</f>
        <v>2.0693796982209336</v>
      </c>
      <c r="C43" s="4">
        <f>INPUT_MACRO!I43</f>
        <v>24145.779997021953</v>
      </c>
      <c r="D43" s="4">
        <f>INPUT_MACRO!M43</f>
        <v>3.8011679833229417</v>
      </c>
      <c r="E43" s="4">
        <f>INPUT_MACRO!O43</f>
        <v>8.9181378338768607</v>
      </c>
      <c r="F43" s="4">
        <f>INPUT_MACRO!P43</f>
        <v>7.8278024510181412</v>
      </c>
      <c r="G43" s="4">
        <f t="shared" si="7"/>
        <v>0.28761719197494262</v>
      </c>
      <c r="H43" s="4">
        <f t="shared" si="4"/>
        <v>1.0903353828587194</v>
      </c>
      <c r="I43" s="4">
        <f>IF(D43&gt;=CONFIG!B7,100,IF(D43&gt;=CONFIG!B6,65,30))</f>
        <v>30</v>
      </c>
      <c r="J43" s="4">
        <f t="shared" si="5"/>
        <v>30</v>
      </c>
      <c r="K43" s="4">
        <f t="shared" si="6"/>
        <v>77.705722636112753</v>
      </c>
    </row>
    <row r="44" spans="1:11">
      <c r="A44" s="5">
        <f>INPUT_MACRO!A44</f>
        <v>45443</v>
      </c>
      <c r="B44" s="4">
        <f>INPUT_MACRO!C44</f>
        <v>2.0499560362997107</v>
      </c>
      <c r="C44" s="4">
        <f>INPUT_MACRO!I44</f>
        <v>24213.537807642806</v>
      </c>
      <c r="D44" s="4">
        <f>INPUT_MACRO!M44</f>
        <v>4.0238117227997083</v>
      </c>
      <c r="E44" s="4">
        <f>INPUT_MACRO!O44</f>
        <v>8.7593542607917652</v>
      </c>
      <c r="F44" s="4">
        <f>INPUT_MACRO!P44</f>
        <v>7.805777069578153</v>
      </c>
      <c r="G44" s="4">
        <f t="shared" si="7"/>
        <v>0.28061968024726269</v>
      </c>
      <c r="H44" s="4">
        <f t="shared" si="4"/>
        <v>0.95357719121361217</v>
      </c>
      <c r="I44" s="4">
        <f>IF(D44&gt;=CONFIG!B7,100,IF(D44&gt;=CONFIG!B6,65,30))</f>
        <v>30</v>
      </c>
      <c r="J44" s="4">
        <f t="shared" si="5"/>
        <v>30</v>
      </c>
      <c r="K44" s="4">
        <f t="shared" si="6"/>
        <v>77.737211438887314</v>
      </c>
    </row>
    <row r="45" spans="1:11">
      <c r="A45" s="5">
        <f>INPUT_MACRO!A45</f>
        <v>45473</v>
      </c>
      <c r="B45" s="4">
        <f>INPUT_MACRO!C45</f>
        <v>2.0471824435270447</v>
      </c>
      <c r="C45" s="4">
        <f>INPUT_MACRO!I45</f>
        <v>24278.703354782421</v>
      </c>
      <c r="D45" s="4">
        <f>INPUT_MACRO!M45</f>
        <v>4.2319387867815514</v>
      </c>
      <c r="E45" s="4">
        <f>INPUT_MACRO!O45</f>
        <v>8.6179626445518558</v>
      </c>
      <c r="F45" s="4">
        <f>INPUT_MACRO!P45</f>
        <v>7.8002215218319799</v>
      </c>
      <c r="G45" s="4">
        <f t="shared" si="7"/>
        <v>0.26912856624794479</v>
      </c>
      <c r="H45" s="4">
        <f t="shared" si="4"/>
        <v>0.81774112271987587</v>
      </c>
      <c r="I45" s="4">
        <f>IF(D45&gt;=CONFIG!B7,100,IF(D45&gt;=CONFIG!B6,65,30))</f>
        <v>30</v>
      </c>
      <c r="J45" s="4">
        <f t="shared" si="5"/>
        <v>30</v>
      </c>
      <c r="K45" s="4">
        <f t="shared" si="6"/>
        <v>77.788921451884249</v>
      </c>
    </row>
    <row r="46" spans="1:11">
      <c r="A46" s="5">
        <f>INPUT_MACRO!A46</f>
        <v>45504</v>
      </c>
      <c r="B46" s="4">
        <f>INPUT_MACRO!C46</f>
        <v>2.0614631160629004</v>
      </c>
      <c r="C46" s="4">
        <f>INPUT_MACRO!I46</f>
        <v>24340.246649679699</v>
      </c>
      <c r="D46" s="4">
        <f>INPUT_MACRO!M46</f>
        <v>4.4197812382063049</v>
      </c>
      <c r="E46" s="4">
        <f>INPUT_MACRO!O46</f>
        <v>8.4953757234487473</v>
      </c>
      <c r="F46" s="4">
        <f>INPUT_MACRO!P46</f>
        <v>7.8111816897851201</v>
      </c>
      <c r="G46" s="4">
        <f t="shared" si="7"/>
        <v>0.25348674514429348</v>
      </c>
      <c r="H46" s="4">
        <f t="shared" si="4"/>
        <v>0.68419403366362719</v>
      </c>
      <c r="I46" s="4">
        <f>IF(D46&gt;=CONFIG!B7,100,IF(D46&gt;=CONFIG!B6,65,30))</f>
        <v>30</v>
      </c>
      <c r="J46" s="4">
        <f t="shared" si="5"/>
        <v>30</v>
      </c>
      <c r="K46" s="4">
        <f t="shared" si="6"/>
        <v>77.859309646850676</v>
      </c>
    </row>
    <row r="47" spans="1:11">
      <c r="A47" s="5">
        <f>INPUT_MACRO!A47</f>
        <v>45535</v>
      </c>
      <c r="B47" s="4">
        <f>INPUT_MACRO!C47</f>
        <v>2.092991920104442</v>
      </c>
      <c r="C47" s="4">
        <f>INPUT_MACRO!I47</f>
        <v>24397.238088994622</v>
      </c>
      <c r="D47" s="4">
        <f>INPUT_MACRO!M47</f>
        <v>4.5821332983698762</v>
      </c>
      <c r="E47" s="4">
        <f>INPUT_MACRO!O47</f>
        <v>8.3928183454762539</v>
      </c>
      <c r="F47" s="4">
        <f>INPUT_MACRO!P47</f>
        <v>7.8385670559028018</v>
      </c>
      <c r="G47" s="4">
        <f t="shared" si="7"/>
        <v>0.23414487180504207</v>
      </c>
      <c r="H47" s="4">
        <f t="shared" si="4"/>
        <v>0.55425128957345215</v>
      </c>
      <c r="I47" s="4">
        <f>IF(D47&gt;=CONFIG!B7,100,IF(D47&gt;=CONFIG!B6,65,30))</f>
        <v>65</v>
      </c>
      <c r="J47" s="4">
        <f t="shared" si="5"/>
        <v>30</v>
      </c>
      <c r="K47" s="4">
        <f t="shared" si="6"/>
        <v>65.696348076877314</v>
      </c>
    </row>
    <row r="48" spans="1:11">
      <c r="A48" s="5">
        <f>INPUT_MACRO!A48</f>
        <v>45565</v>
      </c>
      <c r="B48" s="4">
        <f>INPUT_MACRO!C48</f>
        <v>2.1417500009375332</v>
      </c>
      <c r="C48" s="4">
        <f>INPUT_MACRO!I48</f>
        <v>24448.8742174047</v>
      </c>
      <c r="D48" s="4">
        <f>INPUT_MACRO!M48</f>
        <v>4.7144956174663282</v>
      </c>
      <c r="E48" s="4">
        <f>INPUT_MACRO!O48</f>
        <v>8.3113152300541131</v>
      </c>
      <c r="F48" s="4">
        <f>INPUT_MACRO!P48</f>
        <v>7.8821514506737236</v>
      </c>
      <c r="G48" s="4">
        <f t="shared" si="7"/>
        <v>0.21164743411414833</v>
      </c>
      <c r="H48" s="4">
        <f t="shared" si="4"/>
        <v>0.42916377938038952</v>
      </c>
      <c r="I48" s="4">
        <f>IF(D48&gt;=CONFIG!B7,100,IF(D48&gt;=CONFIG!B6,65,30))</f>
        <v>65</v>
      </c>
      <c r="J48" s="4">
        <f t="shared" si="5"/>
        <v>30</v>
      </c>
      <c r="K48" s="4">
        <f t="shared" si="6"/>
        <v>65.797586546486329</v>
      </c>
    </row>
    <row r="49" spans="1:11">
      <c r="A49" s="5">
        <f>INPUT_MACRO!A49</f>
        <v>45596</v>
      </c>
      <c r="B49" s="4">
        <f>INPUT_MACRO!C49</f>
        <v>2.2075060154716062</v>
      </c>
      <c r="C49" s="4">
        <f>INPUT_MACRO!I49</f>
        <v>24494.499994193684</v>
      </c>
      <c r="D49" s="4">
        <f>INPUT_MACRO!M49</f>
        <v>4.8131999674846346</v>
      </c>
      <c r="E49" s="4">
        <f>INPUT_MACRO!O49</f>
        <v>8.2516807293702765</v>
      </c>
      <c r="F49" s="4">
        <f>INPUT_MACRO!P49</f>
        <v>7.941574920492612</v>
      </c>
      <c r="G49" s="4">
        <f t="shared" si="7"/>
        <v>0.18661708667346844</v>
      </c>
      <c r="H49" s="4">
        <f t="shared" si="4"/>
        <v>0.31010580887766448</v>
      </c>
      <c r="I49" s="4">
        <f>IF(D49&gt;=CONFIG!B7,100,IF(D49&gt;=CONFIG!B6,65,30))</f>
        <v>65</v>
      </c>
      <c r="J49" s="4">
        <f t="shared" si="5"/>
        <v>30</v>
      </c>
      <c r="K49" s="4">
        <f t="shared" si="6"/>
        <v>65.910223109969394</v>
      </c>
    </row>
    <row r="50" spans="1:11">
      <c r="A50" s="5">
        <f>INPUT_MACRO!A50</f>
        <v>45626</v>
      </c>
      <c r="B50" s="4">
        <f>INPUT_MACRO!C50</f>
        <v>2.2898189853900455</v>
      </c>
      <c r="C50" s="4">
        <f>INPUT_MACRO!I50</f>
        <v>24533.626946746594</v>
      </c>
      <c r="D50" s="4">
        <f>INPUT_MACRO!M50</f>
        <v>4.8755109017809222</v>
      </c>
      <c r="E50" s="4">
        <f>INPUT_MACRO!O50</f>
        <v>8.2145106916430315</v>
      </c>
      <c r="F50" s="4">
        <f>INPUT_MACRO!P50</f>
        <v>8.0163467004351965</v>
      </c>
      <c r="G50" s="4">
        <f t="shared" si="7"/>
        <v>0.15973770667776499</v>
      </c>
      <c r="H50" s="4">
        <f t="shared" si="4"/>
        <v>0.19816399120783501</v>
      </c>
      <c r="I50" s="4">
        <f>IF(D50&gt;=CONFIG!B7,100,IF(D50&gt;=CONFIG!B6,65,30))</f>
        <v>65</v>
      </c>
      <c r="J50" s="4">
        <f t="shared" si="5"/>
        <v>30</v>
      </c>
      <c r="K50" s="4">
        <f t="shared" si="6"/>
        <v>66.031180319950053</v>
      </c>
    </row>
    <row r="51" spans="1:11">
      <c r="A51" s="5">
        <f>INPUT_MACRO!A51</f>
        <v>45657</v>
      </c>
      <c r="B51" s="4">
        <f>INPUT_MACRO!C51</f>
        <v>2.388043735728238</v>
      </c>
      <c r="C51" s="4">
        <f>INPUT_MACRO!I51</f>
        <v>24565.946707853556</v>
      </c>
      <c r="D51" s="4">
        <f>INPUT_MACRO!M51</f>
        <v>4.8997015639799093</v>
      </c>
      <c r="E51" s="4">
        <f>INPUT_MACRO!O51</f>
        <v>8.2001765076025688</v>
      </c>
      <c r="F51" s="4">
        <f>INPUT_MACRO!P51</f>
        <v>8.1058492673741203</v>
      </c>
      <c r="G51" s="4">
        <f t="shared" si="7"/>
        <v>0.13173658007075151</v>
      </c>
      <c r="H51" s="4">
        <f t="shared" si="4"/>
        <v>9.4327240228448517E-2</v>
      </c>
      <c r="I51" s="4">
        <f>IF(D51&gt;=CONFIG!B7,100,IF(D51&gt;=CONFIG!B6,65,30))</f>
        <v>65</v>
      </c>
      <c r="J51" s="4">
        <f t="shared" si="5"/>
        <v>30</v>
      </c>
      <c r="K51" s="4">
        <f t="shared" si="6"/>
        <v>66.157185389681615</v>
      </c>
    </row>
    <row r="52" spans="1:11">
      <c r="A52" s="5">
        <f>INPUT_MACRO!A52</f>
        <v>45688</v>
      </c>
      <c r="B52" s="4">
        <f>INPUT_MACRO!C52</f>
        <v>2.5013388518053885</v>
      </c>
      <c r="C52" s="4">
        <f>INPUT_MACRO!I52</f>
        <v>24591.339561655845</v>
      </c>
      <c r="D52" s="4">
        <f>INPUT_MACRO!M52</f>
        <v>4.8851015452727342</v>
      </c>
      <c r="E52" s="4">
        <f>INPUT_MACRO!O52</f>
        <v>8.2088213996775661</v>
      </c>
      <c r="F52" s="4">
        <f>INPUT_MACRO!P52</f>
        <v>8.2093434399620158</v>
      </c>
      <c r="G52" s="4">
        <f t="shared" si="7"/>
        <v>0.10336607053766933</v>
      </c>
      <c r="H52" s="4">
        <f t="shared" si="4"/>
        <v>-5.2204028444968742E-4</v>
      </c>
      <c r="I52" s="4">
        <f>IF(D52&gt;=CONFIG!B7,100,IF(D52&gt;=CONFIG!B6,65,30))</f>
        <v>65</v>
      </c>
      <c r="J52" s="4">
        <f t="shared" si="5"/>
        <v>30</v>
      </c>
      <c r="K52" s="4">
        <f t="shared" si="6"/>
        <v>66.284852682580492</v>
      </c>
    </row>
    <row r="53" spans="1:11">
      <c r="A53" s="5">
        <f>INPUT_MACRO!A53</f>
        <v>45716</v>
      </c>
      <c r="B53" s="4">
        <f>INPUT_MACRO!C53</f>
        <v>2.6286770563774144</v>
      </c>
      <c r="C53" s="4">
        <f>INPUT_MACRO!I53</f>
        <v>24609.87776139575</v>
      </c>
      <c r="D53" s="4">
        <f>INPUT_MACRO!M53</f>
        <v>4.8321154638162014</v>
      </c>
      <c r="E53" s="4">
        <f>INPUT_MACRO!O53</f>
        <v>8.2403589909640349</v>
      </c>
      <c r="F53" s="4">
        <f>INPUT_MACRO!P53</f>
        <v>8.3259744833621738</v>
      </c>
      <c r="G53" s="4">
        <f t="shared" si="7"/>
        <v>7.5385074869238622E-2</v>
      </c>
      <c r="H53" s="4">
        <f t="shared" si="4"/>
        <v>-8.5615492398138926E-2</v>
      </c>
      <c r="I53" s="4">
        <f>IF(D53&gt;=CONFIG!B7,100,IF(D53&gt;=CONFIG!B6,65,30))</f>
        <v>65</v>
      </c>
      <c r="J53" s="4">
        <f t="shared" si="5"/>
        <v>30</v>
      </c>
      <c r="K53" s="4">
        <f t="shared" si="6"/>
        <v>66.410767163088423</v>
      </c>
    </row>
    <row r="54" spans="1:11">
      <c r="A54" s="5">
        <f>INPUT_MACRO!A54</f>
        <v>45747</v>
      </c>
      <c r="B54" s="4">
        <f>INPUT_MACRO!C54</f>
        <v>2.7688578790296487</v>
      </c>
      <c r="C54" s="4">
        <f>INPUT_MACRO!I54</f>
        <v>24621.823527023673</v>
      </c>
      <c r="D54" s="4">
        <f>INPUT_MACRO!M54</f>
        <v>4.7422117513325723</v>
      </c>
      <c r="E54" s="4">
        <f>INPUT_MACRO!O54</f>
        <v>8.2944741682747818</v>
      </c>
      <c r="F54" s="4">
        <f>INPUT_MACRO!P54</f>
        <v>8.4547791683091837</v>
      </c>
      <c r="G54" s="4">
        <f t="shared" si="7"/>
        <v>4.8540532154373039E-2</v>
      </c>
      <c r="H54" s="4">
        <f t="shared" si="4"/>
        <v>-0.16030500003440196</v>
      </c>
      <c r="I54" s="4">
        <f>IF(D54&gt;=CONFIG!B7,100,IF(D54&gt;=CONFIG!B6,65,30))</f>
        <v>65</v>
      </c>
      <c r="J54" s="4">
        <f t="shared" si="5"/>
        <v>30</v>
      </c>
      <c r="K54" s="4">
        <f t="shared" si="6"/>
        <v>66.531567605305327</v>
      </c>
    </row>
    <row r="55" spans="1:11">
      <c r="A55" s="5">
        <f>INPUT_MACRO!A55</f>
        <v>45777</v>
      </c>
      <c r="B55" s="4">
        <f>INPUT_MACRO!C55</f>
        <v>2.9205224615579679</v>
      </c>
      <c r="C55" s="4">
        <f>INPUT_MACRO!I55</f>
        <v>24627.621778155873</v>
      </c>
      <c r="D55" s="4">
        <f>INPUT_MACRO!M55</f>
        <v>4.6178819576728865</v>
      </c>
      <c r="E55" s="4">
        <f>INPUT_MACRO!O55</f>
        <v>8.3706262306462165</v>
      </c>
      <c r="F55" s="4">
        <f>INPUT_MACRO!P55</f>
        <v>8.5946937262003953</v>
      </c>
      <c r="G55" s="4">
        <f t="shared" si="7"/>
        <v>2.3549235197117824E-2</v>
      </c>
      <c r="H55" s="4">
        <f t="shared" si="4"/>
        <v>-0.22406749555417882</v>
      </c>
      <c r="I55" s="4">
        <f>IF(D55&gt;=CONFIG!B7,100,IF(D55&gt;=CONFIG!B6,65,30))</f>
        <v>65</v>
      </c>
      <c r="J55" s="4">
        <f t="shared" si="5"/>
        <v>30</v>
      </c>
      <c r="K55" s="4">
        <f t="shared" si="6"/>
        <v>66.644028441612974</v>
      </c>
    </row>
    <row r="56" spans="1:11">
      <c r="A56" s="5">
        <f>INPUT_MACRO!A56</f>
        <v>45808</v>
      </c>
      <c r="B56" s="4">
        <f>INPUT_MACRO!C56</f>
        <v>3.0821703167438086</v>
      </c>
      <c r="C56" s="4">
        <f>INPUT_MACRO!I56</f>
        <v>24627.887803778267</v>
      </c>
      <c r="D56" s="4">
        <f>INPUT_MACRO!M56</f>
        <v>4.4625717011582866</v>
      </c>
      <c r="E56" s="4">
        <f>INPUT_MACRO!O56</f>
        <v>8.4680542918436483</v>
      </c>
      <c r="F56" s="4">
        <f>INPUT_MACRO!P56</f>
        <v>8.744562634518914</v>
      </c>
      <c r="G56" s="4">
        <f t="shared" si="7"/>
        <v>1.0801920899528028E-3</v>
      </c>
      <c r="H56" s="4">
        <f t="shared" si="4"/>
        <v>-0.27650834267526569</v>
      </c>
      <c r="I56" s="4">
        <f>IF(D56&gt;=CONFIG!B7,100,IF(D56&gt;=CONFIG!B6,65,30))</f>
        <v>30</v>
      </c>
      <c r="J56" s="4">
        <f t="shared" si="5"/>
        <v>30</v>
      </c>
      <c r="K56" s="4">
        <f t="shared" si="6"/>
        <v>78.99513913559521</v>
      </c>
    </row>
    <row r="57" spans="1:11">
      <c r="A57" s="5">
        <f>INPUT_MACRO!A57</f>
        <v>45838</v>
      </c>
      <c r="B57" s="4">
        <f>INPUT_MACRO!C57</f>
        <v>3.2521778338374205</v>
      </c>
      <c r="C57" s="4">
        <f>INPUT_MACRO!I57</f>
        <v>24623.390210412432</v>
      </c>
      <c r="D57" s="4">
        <f>INPUT_MACRO!M57</f>
        <v>4.2805851783096207</v>
      </c>
      <c r="E57" s="4">
        <f>INPUT_MACRO!O57</f>
        <v>8.5857848828850276</v>
      </c>
      <c r="F57" s="4">
        <f>INPUT_MACRO!P57</f>
        <v>8.9031481600312947</v>
      </c>
      <c r="G57" s="4">
        <f t="shared" si="7"/>
        <v>-1.826219691135611E-2</v>
      </c>
      <c r="H57" s="4">
        <f t="shared" si="4"/>
        <v>-0.31736327714626711</v>
      </c>
      <c r="I57" s="4">
        <f>IF(D57&gt;=CONFIG!B7,100,IF(D57&gt;=CONFIG!B6,65,30))</f>
        <v>30</v>
      </c>
      <c r="J57" s="4">
        <f t="shared" si="5"/>
        <v>30</v>
      </c>
      <c r="K57" s="4">
        <f t="shared" si="6"/>
        <v>78.917820113898898</v>
      </c>
    </row>
    <row r="58" spans="1:11">
      <c r="A58" s="5">
        <f>INPUT_MACRO!A58</f>
        <v>45869</v>
      </c>
      <c r="B58" s="4">
        <f>INPUT_MACRO!C58</f>
        <v>3.4288183025215035</v>
      </c>
      <c r="C58" s="4">
        <f>INPUT_MACRO!I58</f>
        <v>24615.029621310438</v>
      </c>
      <c r="D58" s="4">
        <f>INPUT_MACRO!M58</f>
        <v>4.0769658793384593</v>
      </c>
      <c r="E58" s="4">
        <f>INPUT_MACRO!O58</f>
        <v>8.7226416786212297</v>
      </c>
      <c r="F58" s="4">
        <f>INPUT_MACRO!P58</f>
        <v>9.0691405809448611</v>
      </c>
      <c r="G58" s="4">
        <f t="shared" si="7"/>
        <v>-3.3953850507795202E-2</v>
      </c>
      <c r="H58" s="4">
        <f t="shared" si="4"/>
        <v>-0.34649890232363134</v>
      </c>
      <c r="I58" s="4">
        <f>IF(D58&gt;=CONFIG!B7,100,IF(D58&gt;=CONFIG!B6,65,30))</f>
        <v>30</v>
      </c>
      <c r="J58" s="4">
        <f t="shared" si="5"/>
        <v>30</v>
      </c>
      <c r="K58" s="4">
        <f t="shared" si="6"/>
        <v>78.847207672714916</v>
      </c>
    </row>
    <row r="59" spans="1:11">
      <c r="A59" s="5">
        <f>INPUT_MACRO!A59</f>
        <v>45900</v>
      </c>
      <c r="B59" s="4">
        <f>INPUT_MACRO!C59</f>
        <v>3.6102832084000731</v>
      </c>
      <c r="C59" s="4">
        <f>INPUT_MACRO!I59</f>
        <v>24603.813716999128</v>
      </c>
      <c r="D59" s="4">
        <f>INPUT_MACRO!M59</f>
        <v>3.857356815195125</v>
      </c>
      <c r="E59" s="4">
        <f>INPUT_MACRO!O59</f>
        <v>8.8772572511880981</v>
      </c>
      <c r="F59" s="4">
        <f>INPUT_MACRO!P59</f>
        <v>9.241169003602149</v>
      </c>
      <c r="G59" s="4">
        <f t="shared" si="7"/>
        <v>-4.5565268390335145E-2</v>
      </c>
      <c r="H59" s="4">
        <f t="shared" si="4"/>
        <v>-0.36391175241405094</v>
      </c>
      <c r="I59" s="4">
        <f>IF(D59&gt;=CONFIG!B7,100,IF(D59&gt;=CONFIG!B6,65,30))</f>
        <v>30</v>
      </c>
      <c r="J59" s="4">
        <f t="shared" si="5"/>
        <v>65</v>
      </c>
      <c r="K59" s="4">
        <f t="shared" si="6"/>
        <v>66.544956292243498</v>
      </c>
    </row>
    <row r="60" spans="1:11">
      <c r="A60" s="5">
        <f>INPUT_MACRO!A60</f>
        <v>45930</v>
      </c>
      <c r="B60" s="4">
        <f>INPUT_MACRO!C60</f>
        <v>3.7947045373756136</v>
      </c>
      <c r="C60" s="4">
        <f>INPUT_MACRO!I60</f>
        <v>24590.829308888686</v>
      </c>
      <c r="D60" s="4">
        <f>INPUT_MACRO!M60</f>
        <v>3.6278441297766491</v>
      </c>
      <c r="E60" s="4">
        <f>INPUT_MACRO!O60</f>
        <v>9.0480867328936601</v>
      </c>
      <c r="F60" s="4">
        <f>INPUT_MACRO!P60</f>
        <v>9.4178126843798893</v>
      </c>
      <c r="G60" s="4">
        <f t="shared" si="7"/>
        <v>-5.2773965287633562E-2</v>
      </c>
      <c r="H60" s="4">
        <f t="shared" si="4"/>
        <v>-0.36972595148622922</v>
      </c>
      <c r="I60" s="4">
        <f>IF(D60&gt;=CONFIG!B7,100,IF(D60&gt;=CONFIG!B6,65,30))</f>
        <v>30</v>
      </c>
      <c r="J60" s="4">
        <f t="shared" si="5"/>
        <v>65</v>
      </c>
      <c r="K60" s="4">
        <f t="shared" si="6"/>
        <v>66.512517156205647</v>
      </c>
    </row>
    <row r="61" spans="1:11">
      <c r="A61" s="5">
        <f>INPUT_MACRO!A61</f>
        <v>45961</v>
      </c>
      <c r="B61" s="4">
        <f>INPUT_MACRO!C61</f>
        <v>3.9801778138350419</v>
      </c>
      <c r="C61" s="4">
        <f>INPUT_MACRO!I61</f>
        <v>24577.212219884546</v>
      </c>
      <c r="D61" s="4">
        <f>INPUT_MACRO!M61</f>
        <v>3.3947884313534669</v>
      </c>
      <c r="E61" s="4">
        <f>INPUT_MACRO!O61</f>
        <v>9.2334232520254336</v>
      </c>
      <c r="F61" s="4">
        <f>INPUT_MACRO!P61</f>
        <v>9.5976127632875095</v>
      </c>
      <c r="G61" s="4">
        <f t="shared" si="7"/>
        <v>-5.5374663591423179E-2</v>
      </c>
      <c r="H61" s="4">
        <f t="shared" si="4"/>
        <v>-0.36418951126207588</v>
      </c>
      <c r="I61" s="4">
        <f>IF(D61&gt;=CONFIG!B7,100,IF(D61&gt;=CONFIG!B6,65,30))</f>
        <v>30</v>
      </c>
      <c r="J61" s="4">
        <f t="shared" si="5"/>
        <v>65</v>
      </c>
      <c r="K61" s="4">
        <f t="shared" si="6"/>
        <v>66.500814013838593</v>
      </c>
    </row>
    <row r="62" spans="1:11">
      <c r="A62" s="5">
        <f>INPUT_MACRO!A62</f>
        <v>45991</v>
      </c>
      <c r="B62" s="4">
        <f>INPUT_MACRO!C62</f>
        <v>4.1647855885149259</v>
      </c>
      <c r="C62" s="4">
        <f>INPUT_MACRO!I62</f>
        <v>24564.115806717422</v>
      </c>
      <c r="D62" s="4">
        <f>INPUT_MACRO!M62</f>
        <v>3.1646485176175578</v>
      </c>
      <c r="E62" s="4">
        <f>INPUT_MACRO!O62</f>
        <v>9.4314149873483579</v>
      </c>
      <c r="F62" s="4">
        <f>INPUT_MACRO!P62</f>
        <v>9.7790843123600535</v>
      </c>
      <c r="G62" s="4">
        <f t="shared" si="7"/>
        <v>-5.3286813207109596E-2</v>
      </c>
      <c r="H62" s="4">
        <f t="shared" si="4"/>
        <v>-0.34766932501169556</v>
      </c>
      <c r="I62" s="4">
        <f>IF(D62&gt;=CONFIG!B7,100,IF(D62&gt;=CONFIG!B6,65,30))</f>
        <v>30</v>
      </c>
      <c r="J62" s="4">
        <f t="shared" si="5"/>
        <v>65</v>
      </c>
      <c r="K62" s="4">
        <f t="shared" si="6"/>
        <v>66.510209340568011</v>
      </c>
    </row>
    <row r="63" spans="1:11">
      <c r="A63" s="5">
        <f>INPUT_MACRO!A63</f>
        <v>46022</v>
      </c>
      <c r="B63" s="4">
        <f>INPUT_MACRO!C63</f>
        <v>4.3466210863704937</v>
      </c>
      <c r="C63" s="4">
        <f>INPUT_MACRO!I63</f>
        <v>24552.678996349008</v>
      </c>
      <c r="D63" s="4">
        <f>INPUT_MACRO!M63</f>
        <v>2.9438023795544526</v>
      </c>
      <c r="E63" s="4">
        <f>INPUT_MACRO!O63</f>
        <v>9.6400836708904567</v>
      </c>
      <c r="F63" s="4">
        <f>INPUT_MACRO!P63</f>
        <v>9.9607285993405643</v>
      </c>
      <c r="G63" s="4">
        <f t="shared" si="7"/>
        <v>-4.6559015021763184E-2</v>
      </c>
      <c r="H63" s="4">
        <f t="shared" si="4"/>
        <v>-0.32064492845010761</v>
      </c>
      <c r="I63" s="4">
        <f>IF(D63&gt;=CONFIG!B7,100,IF(D63&gt;=CONFIG!B6,65,30))</f>
        <v>30</v>
      </c>
      <c r="J63" s="4">
        <f t="shared" si="5"/>
        <v>65</v>
      </c>
      <c r="K63" s="4">
        <f t="shared" si="6"/>
        <v>66.540484432402067</v>
      </c>
    </row>
    <row r="64" spans="1:11">
      <c r="A64" s="5">
        <f>INPUT_MACRO!A64</f>
        <v>46053</v>
      </c>
      <c r="B64" s="4">
        <f>INPUT_MACRO!C64</f>
        <v>4.5238117227997083</v>
      </c>
      <c r="C64" s="4">
        <f>INPUT_MACRO!I64</f>
        <v>24543.994722277657</v>
      </c>
      <c r="D64" s="4">
        <f>INPUT_MACRO!M64</f>
        <v>2.7383704447548824</v>
      </c>
      <c r="E64" s="4">
        <f>INPUT_MACRO!O64</f>
        <v>9.8573443541424712</v>
      </c>
      <c r="F64" s="4">
        <f>INPUT_MACRO!P64</f>
        <v>10.141045465368986</v>
      </c>
      <c r="G64" s="4">
        <f t="shared" si="7"/>
        <v>-3.5369965422682448E-2</v>
      </c>
      <c r="H64" s="4">
        <f t="shared" si="4"/>
        <v>-0.28370111122651487</v>
      </c>
      <c r="I64" s="4">
        <f>IF(D64&gt;=CONFIG!B7,100,IF(D64&gt;=CONFIG!B6,65,30))</f>
        <v>30</v>
      </c>
      <c r="J64" s="4">
        <f t="shared" si="5"/>
        <v>100</v>
      </c>
      <c r="K64" s="4">
        <f t="shared" si="6"/>
        <v>54.340835155597929</v>
      </c>
    </row>
    <row r="65" spans="1:11">
      <c r="A65" s="5">
        <f>INPUT_MACRO!A65</f>
        <v>46081</v>
      </c>
      <c r="B65" s="4">
        <f>INPUT_MACRO!C65</f>
        <v>4.6945421981971762</v>
      </c>
      <c r="C65" s="4">
        <f>INPUT_MACRO!I65</f>
        <v>24539.079635485541</v>
      </c>
      <c r="D65" s="4">
        <f>INPUT_MACRO!M65</f>
        <v>2.5540459587190396</v>
      </c>
      <c r="E65" s="4">
        <f>INPUT_MACRO!O65</f>
        <v>10.081026240174179</v>
      </c>
      <c r="F65" s="4">
        <f>INPUT_MACRO!P65</f>
        <v>10.31854571445305</v>
      </c>
      <c r="G65" s="4">
        <f t="shared" si="7"/>
        <v>-2.0025618680785673E-2</v>
      </c>
      <c r="H65" s="4">
        <f t="shared" si="4"/>
        <v>-0.2375194742788711</v>
      </c>
      <c r="I65" s="4">
        <f>IF(D65&gt;=CONFIG!B7,100,IF(D65&gt;=CONFIG!B6,65,30))</f>
        <v>30</v>
      </c>
      <c r="J65" s="4">
        <f t="shared" si="5"/>
        <v>100</v>
      </c>
      <c r="K65" s="4">
        <f t="shared" si="6"/>
        <v>54.409884715936464</v>
      </c>
    </row>
    <row r="66" spans="1:11">
      <c r="A66" s="5">
        <f>INPUT_MACRO!A66</f>
        <v>46112</v>
      </c>
      <c r="B66" s="4">
        <f>INPUT_MACRO!C66</f>
        <v>4.8570768860131874</v>
      </c>
      <c r="C66" s="4">
        <f>INPUT_MACRO!I66</f>
        <v>24538.845929444193</v>
      </c>
      <c r="D66" s="4">
        <f>INPUT_MACRO!M66</f>
        <v>2.3959372048874861</v>
      </c>
      <c r="E66" s="4">
        <f>INPUT_MACRO!O66</f>
        <v>10.308894373519758</v>
      </c>
      <c r="F66" s="4">
        <f>INPUT_MACRO!P66</f>
        <v>10.491763412399322</v>
      </c>
      <c r="G66" s="4">
        <f t="shared" si="7"/>
        <v>-9.5238307556977375E-4</v>
      </c>
      <c r="H66" s="4">
        <f t="shared" si="4"/>
        <v>-0.18286903887956463</v>
      </c>
      <c r="I66" s="4">
        <f>IF(D66&gt;=CONFIG!B7,100,IF(D66&gt;=CONFIG!B6,65,30))</f>
        <v>30</v>
      </c>
      <c r="J66" s="4">
        <f t="shared" si="5"/>
        <v>100</v>
      </c>
      <c r="K66" s="4">
        <f t="shared" si="6"/>
        <v>54.495714276159937</v>
      </c>
    </row>
    <row r="67" spans="1:11">
      <c r="A67" s="5">
        <f>INPUT_MACRO!A67</f>
        <v>46142</v>
      </c>
      <c r="B67" s="4">
        <f>INPUT_MACRO!C67</f>
        <v>5.0097812382063047</v>
      </c>
      <c r="C67" s="4">
        <f>INPUT_MACRO!I67</f>
        <v>24544.076060007083</v>
      </c>
      <c r="D67" s="4">
        <f>INPUT_MACRO!M67</f>
        <v>2.2684259360396619</v>
      </c>
      <c r="E67" s="4">
        <f>INPUT_MACRO!O67</f>
        <v>10.538671971114004</v>
      </c>
      <c r="F67" s="4">
        <f>INPUT_MACRO!P67</f>
        <v>10.659267993630369</v>
      </c>
      <c r="G67" s="4">
        <f t="shared" si="7"/>
        <v>2.1313677823031618E-2</v>
      </c>
      <c r="H67" s="4">
        <f t="shared" si="4"/>
        <v>-0.1205960225163647</v>
      </c>
      <c r="I67" s="4">
        <f>IF(D67&gt;=CONFIG!B7,100,IF(D67&gt;=CONFIG!B6,65,30))</f>
        <v>30</v>
      </c>
      <c r="J67" s="4">
        <f t="shared" si="5"/>
        <v>100</v>
      </c>
      <c r="K67" s="4">
        <f t="shared" si="6"/>
        <v>54.404088449796355</v>
      </c>
    </row>
  </sheetData>
  <mergeCells count="1">
    <mergeCell ref="A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7"/>
  <sheetViews>
    <sheetView topLeftCell="A46" workbookViewId="0">
      <selection activeCell="N15" sqref="N15"/>
    </sheetView>
  </sheetViews>
  <sheetFormatPr defaultRowHeight="14.25"/>
  <cols>
    <col min="1" max="1" width="10.125" bestFit="1" customWidth="1"/>
    <col min="2" max="2" width="14.5" customWidth="1"/>
    <col min="3" max="3" width="14.75" customWidth="1"/>
    <col min="4" max="4" width="8" customWidth="1"/>
    <col min="5" max="5" width="6.875" customWidth="1"/>
    <col min="6" max="6" width="8.125" customWidth="1"/>
    <col min="7" max="7" width="7.125" customWidth="1"/>
    <col min="8" max="8" width="14.875" customWidth="1"/>
    <col min="9" max="9" width="14.125" customWidth="1"/>
    <col min="10" max="10" width="18" customWidth="1"/>
    <col min="11" max="11" width="16.125" customWidth="1"/>
  </cols>
  <sheetData>
    <row r="1" spans="1:11" ht="27.95" customHeight="1">
      <c r="A1" s="10" t="s">
        <v>144</v>
      </c>
      <c r="B1" s="10" t="s">
        <v>144</v>
      </c>
      <c r="C1" s="10" t="s">
        <v>144</v>
      </c>
      <c r="D1" s="10" t="s">
        <v>144</v>
      </c>
      <c r="E1" s="10" t="s">
        <v>144</v>
      </c>
      <c r="F1" s="10" t="s">
        <v>144</v>
      </c>
      <c r="G1" s="10" t="s">
        <v>144</v>
      </c>
      <c r="H1" s="10" t="s">
        <v>144</v>
      </c>
      <c r="I1" s="10" t="s">
        <v>144</v>
      </c>
      <c r="J1" s="10" t="s">
        <v>144</v>
      </c>
      <c r="K1" s="10" t="s">
        <v>144</v>
      </c>
    </row>
    <row r="3" spans="1:11" ht="25.5">
      <c r="A3" s="3" t="s">
        <v>75</v>
      </c>
      <c r="B3" s="3" t="s">
        <v>93</v>
      </c>
      <c r="C3" s="3" t="s">
        <v>90</v>
      </c>
      <c r="D3" s="3" t="s">
        <v>95</v>
      </c>
      <c r="E3" s="3" t="s">
        <v>94</v>
      </c>
      <c r="F3" s="3" t="s">
        <v>97</v>
      </c>
      <c r="G3" s="3" t="s">
        <v>96</v>
      </c>
      <c r="H3" s="3" t="s">
        <v>145</v>
      </c>
      <c r="I3" s="3" t="s">
        <v>146</v>
      </c>
      <c r="J3" s="3" t="s">
        <v>147</v>
      </c>
      <c r="K3" s="3" t="s">
        <v>148</v>
      </c>
    </row>
    <row r="4" spans="1:11">
      <c r="A4" s="5">
        <f>INPUT_ABBANK!A4</f>
        <v>44227</v>
      </c>
      <c r="B4" s="4">
        <f>INPUT_ABBANK!C4</f>
        <v>9</v>
      </c>
      <c r="C4" s="4">
        <f>INPUT_ABBANK!E4</f>
        <v>10.482941969615794</v>
      </c>
      <c r="D4" s="4">
        <f>INPUT_ABBANK!F4</f>
        <v>14</v>
      </c>
      <c r="E4" s="4">
        <f>INPUT_ABBANK!G4</f>
        <v>3.05</v>
      </c>
      <c r="F4" s="4">
        <f>INPUT_ABBANK!J4</f>
        <v>87.755102040816325</v>
      </c>
      <c r="G4" s="4">
        <f>INPUT_ABBANK!K4</f>
        <v>2</v>
      </c>
      <c r="H4" s="4">
        <f t="shared" ref="H4:H35" si="0">MIN(100,MAX(0,50+B4*3))</f>
        <v>77</v>
      </c>
      <c r="I4" s="4">
        <f t="shared" ref="I4:I35" si="1">MAX(0,100-(MAX(0,F4-80)*3)+D4)</f>
        <v>90.734693877551024</v>
      </c>
      <c r="J4" s="4">
        <f t="shared" ref="J4:J35" si="2">MAX(0,100-G4*20)</f>
        <v>60</v>
      </c>
      <c r="K4" s="4">
        <f t="shared" ref="K4:K35" si="3">0.3*H4+0.4*I4+0.3*J4</f>
        <v>77.39387755102041</v>
      </c>
    </row>
    <row r="5" spans="1:11">
      <c r="A5" s="5">
        <f>INPUT_ABBANK!A5</f>
        <v>44255</v>
      </c>
      <c r="B5" s="4">
        <f>INPUT_ABBANK!C5</f>
        <v>9.2439417827218957</v>
      </c>
      <c r="C5" s="4">
        <f>INPUT_ABBANK!E5</f>
        <v>10.604535188198192</v>
      </c>
      <c r="D5" s="4">
        <f>INPUT_ABBANK!F5</f>
        <v>14.199666833293657</v>
      </c>
      <c r="E5" s="4">
        <f>INPUT_ABBANK!G5</f>
        <v>3.0855929324480655</v>
      </c>
      <c r="F5" s="4">
        <f>INPUT_ABBANK!J5</f>
        <v>88.046896457559214</v>
      </c>
      <c r="G5" s="4">
        <f>INPUT_ABBANK!K5</f>
        <v>2.0436361566848298</v>
      </c>
      <c r="H5" s="4">
        <f t="shared" si="0"/>
        <v>77.731825348165685</v>
      </c>
      <c r="I5" s="4">
        <f t="shared" si="1"/>
        <v>90.05897746061602</v>
      </c>
      <c r="J5" s="4">
        <f t="shared" si="2"/>
        <v>59.127276866303404</v>
      </c>
      <c r="K5" s="4">
        <f t="shared" si="3"/>
        <v>77.081321648587135</v>
      </c>
    </row>
    <row r="6" spans="1:11">
      <c r="A6" s="5">
        <f>INPUT_ABBANK!A6</f>
        <v>44286</v>
      </c>
      <c r="B6" s="4">
        <f>INPUT_ABBANK!C6</f>
        <v>9.4848750356034692</v>
      </c>
      <c r="C6" s="4">
        <f>INPUT_ABBANK!E6</f>
        <v>10.697969238711174</v>
      </c>
      <c r="D6" s="4">
        <f>INPUT_ABBANK!F6</f>
        <v>14.397338661590123</v>
      </c>
      <c r="E6" s="4">
        <f>INPUT_ABBANK!G6</f>
        <v>3.1204607130305524</v>
      </c>
      <c r="F6" s="4">
        <f>INPUT_ABBANK!J6</f>
        <v>88.32596431108783</v>
      </c>
      <c r="G6" s="4">
        <f>INPUT_ABBANK!K6</f>
        <v>2.0865913857390832</v>
      </c>
      <c r="H6" s="4">
        <f t="shared" si="0"/>
        <v>78.454625106810411</v>
      </c>
      <c r="I6" s="4">
        <f t="shared" si="1"/>
        <v>89.419445728326636</v>
      </c>
      <c r="J6" s="4">
        <f t="shared" si="2"/>
        <v>58.268172285218334</v>
      </c>
      <c r="K6" s="4">
        <f t="shared" si="3"/>
        <v>76.784617508939277</v>
      </c>
    </row>
    <row r="7" spans="1:11">
      <c r="A7" s="5">
        <f>INPUT_ABBANK!A7</f>
        <v>44316</v>
      </c>
      <c r="B7" s="4">
        <f>INPUT_ABBANK!C7</f>
        <v>9.7198283329515345</v>
      </c>
      <c r="C7" s="4">
        <f>INPUT_ABBANK!E7</f>
        <v>10.761786114046313</v>
      </c>
      <c r="D7" s="4">
        <f>INPUT_ABBANK!F7</f>
        <v>14.591040413322679</v>
      </c>
      <c r="E7" s="4">
        <f>INPUT_ABBANK!G7</f>
        <v>3.1538929637482629</v>
      </c>
      <c r="F7" s="4">
        <f>INPUT_ABBANK!J7</f>
        <v>88.586125472476112</v>
      </c>
      <c r="G7" s="4">
        <f>INPUT_ABBANK!K7</f>
        <v>2.1281953851801165</v>
      </c>
      <c r="H7" s="4">
        <f t="shared" si="0"/>
        <v>79.159484998854595</v>
      </c>
      <c r="I7" s="4">
        <f t="shared" si="1"/>
        <v>88.832663995894336</v>
      </c>
      <c r="J7" s="4">
        <f t="shared" si="2"/>
        <v>57.436092296397668</v>
      </c>
      <c r="K7" s="4">
        <f t="shared" si="3"/>
        <v>76.511738786933421</v>
      </c>
    </row>
    <row r="8" spans="1:11">
      <c r="A8" s="5">
        <f>INPUT_ABBANK!A8</f>
        <v>44347</v>
      </c>
      <c r="B8" s="4">
        <f>INPUT_ABBANK!C8</f>
        <v>9.9459039997623826</v>
      </c>
      <c r="C8" s="4">
        <f>INPUT_ABBANK!E8</f>
        <v>10.794989973208109</v>
      </c>
      <c r="D8" s="4">
        <f>INPUT_ABBANK!F8</f>
        <v>14.778836684617302</v>
      </c>
      <c r="E8" s="4">
        <f>INPUT_ABBANK!G8</f>
        <v>3.1852085533397076</v>
      </c>
      <c r="F8" s="4">
        <f>INPUT_ABBANK!J8</f>
        <v>88.82212725502589</v>
      </c>
      <c r="G8" s="4">
        <f>INPUT_ABBANK!K8</f>
        <v>2.1677989385114711</v>
      </c>
      <c r="H8" s="4">
        <f t="shared" si="0"/>
        <v>79.837711999287151</v>
      </c>
      <c r="I8" s="4">
        <f t="shared" si="1"/>
        <v>88.312454919539633</v>
      </c>
      <c r="J8" s="4">
        <f t="shared" si="2"/>
        <v>56.64402122977058</v>
      </c>
      <c r="K8" s="4">
        <f t="shared" si="3"/>
        <v>76.26950193653316</v>
      </c>
    </row>
    <row r="9" spans="1:11">
      <c r="A9" s="5">
        <f>INPUT_ABBANK!A9</f>
        <v>44377</v>
      </c>
      <c r="B9" s="4">
        <f>INPUT_ABBANK!C9</f>
        <v>10.160313848698104</v>
      </c>
      <c r="C9" s="4">
        <f>INPUT_ABBANK!E9</f>
        <v>10.797062681079664</v>
      </c>
      <c r="D9" s="4">
        <f>INPUT_ABBANK!F9</f>
        <v>14.958851077208406</v>
      </c>
      <c r="E9" s="4">
        <f>INPUT_ABBANK!G9</f>
        <v>3.2137694742946294</v>
      </c>
      <c r="F9" s="4">
        <f>INPUT_ABBANK!J9</f>
        <v>89.029864901173326</v>
      </c>
      <c r="G9" s="4">
        <f>INPUT_ABBANK!K9</f>
        <v>2.2047840455291619</v>
      </c>
      <c r="H9" s="4">
        <f t="shared" si="0"/>
        <v>80.480941546094314</v>
      </c>
      <c r="I9" s="4">
        <f t="shared" si="1"/>
        <v>87.86925637368843</v>
      </c>
      <c r="J9" s="4">
        <f t="shared" si="2"/>
        <v>55.904319089416759</v>
      </c>
      <c r="K9" s="4">
        <f t="shared" si="3"/>
        <v>76.063280740128704</v>
      </c>
    </row>
    <row r="10" spans="1:11">
      <c r="A10" s="5">
        <f>INPUT_ABBANK!A10</f>
        <v>44408</v>
      </c>
      <c r="B10" s="4">
        <f>INPUT_ABBANK!C10</f>
        <v>10.360413566753422</v>
      </c>
      <c r="C10" s="4">
        <f>INPUT_ABBANK!E10</f>
        <v>10.767971893747875</v>
      </c>
      <c r="D10" s="4">
        <f>INPUT_ABBANK!F10</f>
        <v>15.129284946790071</v>
      </c>
      <c r="E10" s="4">
        <f>INPUT_ABBANK!G10</f>
        <v>3.2389938412866828</v>
      </c>
      <c r="F10" s="4">
        <f>INPUT_ABBANK!J10</f>
        <v>89.20654653504188</v>
      </c>
      <c r="G10" s="4">
        <f>INPUT_ABBANK!K10</f>
        <v>2.2385735660081671</v>
      </c>
      <c r="H10" s="4">
        <f t="shared" si="0"/>
        <v>81.081240700260267</v>
      </c>
      <c r="I10" s="4">
        <f t="shared" si="1"/>
        <v>87.509645341664424</v>
      </c>
      <c r="J10" s="4">
        <f t="shared" si="2"/>
        <v>55.228528679836657</v>
      </c>
      <c r="K10" s="4">
        <f t="shared" si="3"/>
        <v>75.896788950694855</v>
      </c>
    </row>
    <row r="11" spans="1:11">
      <c r="A11" s="5">
        <f>INPUT_ABBANK!A11</f>
        <v>44439</v>
      </c>
      <c r="B11" s="4">
        <f>INPUT_ABBANK!C11</f>
        <v>10.543735327522818</v>
      </c>
      <c r="C11" s="4">
        <f>INPUT_ABBANK!E11</f>
        <v>10.708171563219388</v>
      </c>
      <c r="D11" s="4">
        <f>INPUT_ABBANK!F11</f>
        <v>15.288435374475382</v>
      </c>
      <c r="E11" s="4">
        <f>INPUT_ABBANK!G11</f>
        <v>3.260367746201974</v>
      </c>
      <c r="F11" s="4">
        <f>INPUT_ABBANK!J11</f>
        <v>89.350799217273433</v>
      </c>
      <c r="G11" s="4">
        <f>INPUT_ABBANK!K11</f>
        <v>2.2686402257826095</v>
      </c>
      <c r="H11" s="4">
        <f t="shared" si="0"/>
        <v>81.631205982568446</v>
      </c>
      <c r="I11" s="4">
        <f t="shared" si="1"/>
        <v>87.236037722655084</v>
      </c>
      <c r="J11" s="4">
        <f t="shared" si="2"/>
        <v>54.627195484347808</v>
      </c>
      <c r="K11" s="4">
        <f t="shared" si="3"/>
        <v>75.771935529136911</v>
      </c>
    </row>
    <row r="12" spans="1:11">
      <c r="A12" s="5">
        <f>INPUT_ABBANK!A12</f>
        <v>44469</v>
      </c>
      <c r="B12" s="4">
        <f>INPUT_ABBANK!C12</f>
        <v>10.708018226861453</v>
      </c>
      <c r="C12" s="4">
        <f>INPUT_ABBANK!E12</f>
        <v>10.618594853651365</v>
      </c>
      <c r="D12" s="4">
        <f>INPUT_ABBANK!F12</f>
        <v>15.434712181799046</v>
      </c>
      <c r="E12" s="4">
        <f>INPUT_ABBANK!G12</f>
        <v>3.2774557282352808</v>
      </c>
      <c r="F12" s="4">
        <f>INPUT_ABBANK!J12</f>
        <v>89.462714854803679</v>
      </c>
      <c r="G12" s="4">
        <f>INPUT_ABBANK!K12</f>
        <v>2.2945148446827637</v>
      </c>
      <c r="H12" s="4">
        <f t="shared" si="0"/>
        <v>82.124054680584351</v>
      </c>
      <c r="I12" s="4">
        <f t="shared" si="1"/>
        <v>87.046567617388007</v>
      </c>
      <c r="J12" s="4">
        <f t="shared" si="2"/>
        <v>54.109703106344725</v>
      </c>
      <c r="K12" s="4">
        <f t="shared" si="3"/>
        <v>75.688754383033924</v>
      </c>
    </row>
    <row r="13" spans="1:11">
      <c r="A13" s="5">
        <f>INPUT_ABBANK!A13</f>
        <v>44500</v>
      </c>
      <c r="B13" s="4">
        <f>INPUT_ABBANK!C13</f>
        <v>10.851236166577372</v>
      </c>
      <c r="C13" s="4">
        <f>INPUT_ABBANK!E13</f>
        <v>10.500639579636905</v>
      </c>
      <c r="D13" s="4">
        <f>INPUT_ABBANK!F13</f>
        <v>15.566653819254967</v>
      </c>
      <c r="E13" s="4">
        <f>INPUT_ABBANK!G13</f>
        <v>3.289909645741671</v>
      </c>
      <c r="F13" s="4">
        <f>INPUT_ABBANK!J13</f>
        <v>89.543836517075206</v>
      </c>
      <c r="G13" s="4">
        <f>INPUT_ABBANK!K13</f>
        <v>2.3157936579346834</v>
      </c>
      <c r="H13" s="4">
        <f t="shared" si="0"/>
        <v>82.553708499732124</v>
      </c>
      <c r="I13" s="4">
        <f t="shared" si="1"/>
        <v>86.935144268029347</v>
      </c>
      <c r="J13" s="4">
        <f t="shared" si="2"/>
        <v>53.68412684130633</v>
      </c>
      <c r="K13" s="4">
        <f t="shared" si="3"/>
        <v>75.645408309523276</v>
      </c>
    </row>
    <row r="14" spans="1:11">
      <c r="A14" s="5">
        <f>INPUT_ABBANK!A14</f>
        <v>44530</v>
      </c>
      <c r="B14" s="4">
        <f>INPUT_ABBANK!C14</f>
        <v>10.971622842265905</v>
      </c>
      <c r="C14" s="4">
        <f>INPUT_ABBANK!E14</f>
        <v>10.356146393775843</v>
      </c>
      <c r="D14" s="4">
        <f>INPUT_ABBANK!F14</f>
        <v>15.682941969615793</v>
      </c>
      <c r="E14" s="4">
        <f>INPUT_ABBANK!G14</f>
        <v>3.297475769093031</v>
      </c>
      <c r="F14" s="4">
        <f>INPUT_ABBANK!J14</f>
        <v>89.597087236969585</v>
      </c>
      <c r="G14" s="4">
        <f>INPUT_ABBANK!K14</f>
        <v>2.3321446167744551</v>
      </c>
      <c r="H14" s="4">
        <f t="shared" si="0"/>
        <v>82.914868526797719</v>
      </c>
      <c r="I14" s="4">
        <f t="shared" si="1"/>
        <v>86.891680258707041</v>
      </c>
      <c r="J14" s="4">
        <f t="shared" si="2"/>
        <v>53.357107664510899</v>
      </c>
      <c r="K14" s="4">
        <f t="shared" si="3"/>
        <v>75.638264960875404</v>
      </c>
    </row>
    <row r="15" spans="1:11">
      <c r="A15" s="5">
        <f>INPUT_ABBANK!A15</f>
        <v>44561</v>
      </c>
      <c r="B15" s="4">
        <f>INPUT_ABBANK!C15</f>
        <v>11.06769352711172</v>
      </c>
      <c r="C15" s="4">
        <f>INPUT_ABBANK!E15</f>
        <v>10.187370063906544</v>
      </c>
      <c r="D15" s="4">
        <f>INPUT_ABBANK!F15</f>
        <v>15.782414720122871</v>
      </c>
      <c r="E15" s="4">
        <f>INPUT_ABBANK!G15</f>
        <v>3.2999999500333419</v>
      </c>
      <c r="F15" s="4">
        <f>INPUT_ABBANK!J15</f>
        <v>89.6266447039241</v>
      </c>
      <c r="G15" s="4">
        <f>INPUT_ABBANK!K15</f>
        <v>2.3433125699581043</v>
      </c>
      <c r="H15" s="4">
        <f t="shared" si="0"/>
        <v>83.203080581335158</v>
      </c>
      <c r="I15" s="4">
        <f t="shared" si="1"/>
        <v>86.902480608350572</v>
      </c>
      <c r="J15" s="4">
        <f t="shared" si="2"/>
        <v>53.133748600837912</v>
      </c>
      <c r="K15" s="4">
        <f t="shared" si="3"/>
        <v>75.66204099799215</v>
      </c>
    </row>
    <row r="16" spans="1:11">
      <c r="A16" s="5">
        <f>INPUT_ABBANK!A16</f>
        <v>44592</v>
      </c>
      <c r="B16" s="4">
        <f>INPUT_ABBANK!C16</f>
        <v>11.138263382999288</v>
      </c>
      <c r="C16" s="4">
        <f>INPUT_ABBANK!E16</f>
        <v>9.9969442882079136</v>
      </c>
      <c r="D16" s="4">
        <f>INPUT_ABBANK!F16</f>
        <v>15.864078171934452</v>
      </c>
      <c r="E16" s="4">
        <f>INPUT_ABBANK!G16</f>
        <v>3.297430762214955</v>
      </c>
      <c r="F16" s="4">
        <f>INPUT_ABBANK!J16</f>
        <v>89.637766473562749</v>
      </c>
      <c r="G16" s="4">
        <f>INPUT_ABBANK!K16</f>
        <v>2.3491232453114188</v>
      </c>
      <c r="H16" s="4">
        <f t="shared" si="0"/>
        <v>83.414790148997866</v>
      </c>
      <c r="I16" s="4">
        <f t="shared" si="1"/>
        <v>86.950778751246204</v>
      </c>
      <c r="J16" s="4">
        <f t="shared" si="2"/>
        <v>53.017535093771627</v>
      </c>
      <c r="K16" s="4">
        <f t="shared" si="3"/>
        <v>75.710009073329331</v>
      </c>
    </row>
    <row r="17" spans="1:11">
      <c r="A17" s="5">
        <f>INPUT_ABBANK!A17</f>
        <v>44620</v>
      </c>
      <c r="B17" s="4">
        <f>INPUT_ABBANK!C17</f>
        <v>11.182462073101128</v>
      </c>
      <c r="C17" s="4">
        <f>INPUT_ABBANK!E17</f>
        <v>9.7878405972201783</v>
      </c>
      <c r="D17" s="4">
        <f>INPUT_ABBANK!F17</f>
        <v>15.927116370834385</v>
      </c>
      <c r="E17" s="4">
        <f>INPUT_ABBANK!G17</f>
        <v>3.2898205489322101</v>
      </c>
      <c r="F17" s="4">
        <f>INPUT_ABBANK!J17</f>
        <v>89.636571501520663</v>
      </c>
      <c r="G17" s="4">
        <f>INPUT_ABBANK!K17</f>
        <v>2.3494859691889411</v>
      </c>
      <c r="H17" s="4">
        <f t="shared" si="0"/>
        <v>83.547386219303377</v>
      </c>
      <c r="I17" s="4">
        <f t="shared" si="1"/>
        <v>87.017401866272394</v>
      </c>
      <c r="J17" s="4">
        <f t="shared" si="2"/>
        <v>53.010280616221181</v>
      </c>
      <c r="K17" s="4">
        <f t="shared" si="3"/>
        <v>75.77426079716632</v>
      </c>
    </row>
    <row r="18" spans="1:11">
      <c r="A18" s="5">
        <f>INPUT_ABBANK!A18</f>
        <v>44651</v>
      </c>
      <c r="B18" s="4">
        <f>INPUT_ABBANK!C18</f>
        <v>11.199744495727025</v>
      </c>
      <c r="C18" s="4">
        <f>INPUT_ABBANK!E18</f>
        <v>9.5633219841046646</v>
      </c>
      <c r="D18" s="4">
        <f>INPUT_ABBANK!F18</f>
        <v>15.97089945997692</v>
      </c>
      <c r="E18" s="4">
        <f>INPUT_ABBANK!G18</f>
        <v>3.2773243567064201</v>
      </c>
      <c r="F18" s="4">
        <f>INPUT_ABBANK!J18</f>
        <v>89.629785016243133</v>
      </c>
      <c r="G18" s="4">
        <f>INPUT_ABBANK!K18</f>
        <v>2.344395081405878</v>
      </c>
      <c r="H18" s="4">
        <f t="shared" si="0"/>
        <v>83.599233487181067</v>
      </c>
      <c r="I18" s="4">
        <f t="shared" si="1"/>
        <v>87.081544411247521</v>
      </c>
      <c r="J18" s="4">
        <f t="shared" si="2"/>
        <v>53.112098371882439</v>
      </c>
      <c r="K18" s="4">
        <f t="shared" si="3"/>
        <v>75.84601732221806</v>
      </c>
    </row>
    <row r="19" spans="1:11">
      <c r="A19" s="5">
        <f>INPUT_ABBANK!A19</f>
        <v>44681</v>
      </c>
      <c r="B19" s="4">
        <f>INPUT_ABBANK!C19</f>
        <v>11.189897507053884</v>
      </c>
      <c r="C19" s="4">
        <f>INPUT_ABBANK!E19</f>
        <v>9.3268919867268423</v>
      </c>
      <c r="D19" s="4">
        <f>INPUT_ABBANK!F19</f>
        <v>15.994989973208108</v>
      </c>
      <c r="E19" s="4">
        <f>INPUT_ABBANK!G19</f>
        <v>3.2601967764488125</v>
      </c>
      <c r="F19" s="4">
        <f>INPUT_ABBANK!J19</f>
        <v>89.624455000103069</v>
      </c>
      <c r="G19" s="4">
        <f>INPUT_ABBANK!K19</f>
        <v>2.3339300235633926</v>
      </c>
      <c r="H19" s="4">
        <f t="shared" si="0"/>
        <v>83.569692521161642</v>
      </c>
      <c r="I19" s="4">
        <f t="shared" si="1"/>
        <v>87.1216249728989</v>
      </c>
      <c r="J19" s="4">
        <f t="shared" si="2"/>
        <v>53.321399528732144</v>
      </c>
      <c r="K19" s="4">
        <f t="shared" si="3"/>
        <v>75.915977604127704</v>
      </c>
    </row>
    <row r="20" spans="1:11">
      <c r="A20" s="5">
        <f>INPUT_ABBANK!A20</f>
        <v>44712</v>
      </c>
      <c r="B20" s="4">
        <f>INPUT_ABBANK!C20</f>
        <v>11.153042549824843</v>
      </c>
      <c r="C20" s="4">
        <f>INPUT_ABBANK!E20</f>
        <v>9.0822400161197354</v>
      </c>
      <c r="D20" s="4">
        <f>INPUT_ABBANK!F20</f>
        <v>15.999147206083011</v>
      </c>
      <c r="E20" s="4">
        <f>INPUT_ABBANK!G20</f>
        <v>3.2387867565579143</v>
      </c>
      <c r="F20" s="4">
        <f>INPUT_ABBANK!J20</f>
        <v>89.627649832153608</v>
      </c>
      <c r="G20" s="4">
        <f>INPUT_ABBANK!K20</f>
        <v>2.3182540993889886</v>
      </c>
      <c r="H20" s="4">
        <f t="shared" si="0"/>
        <v>83.459127649474524</v>
      </c>
      <c r="I20" s="4">
        <f t="shared" si="1"/>
        <v>87.116197709622185</v>
      </c>
      <c r="J20" s="4">
        <f t="shared" si="2"/>
        <v>53.634918012220226</v>
      </c>
      <c r="K20" s="4">
        <f t="shared" si="3"/>
        <v>75.974692782357295</v>
      </c>
    </row>
    <row r="21" spans="1:11">
      <c r="A21" s="5">
        <f>INPUT_ABBANK!A21</f>
        <v>44742</v>
      </c>
      <c r="B21" s="4">
        <f>INPUT_ABBANK!C21</f>
        <v>11.089634155598006</v>
      </c>
      <c r="C21" s="4">
        <f>INPUT_ABBANK!E21</f>
        <v>8.8331837844586971</v>
      </c>
      <c r="D21" s="4">
        <f>INPUT_ABBANK!F21</f>
        <v>15.983329620904938</v>
      </c>
      <c r="E21" s="4">
        <f>INPUT_ABBANK!G21</f>
        <v>3.2135304936266489</v>
      </c>
      <c r="F21" s="4">
        <f>INPUT_ABBANK!J21</f>
        <v>89.646147895854568</v>
      </c>
      <c r="G21" s="4">
        <f>INPUT_ABBANK!K21</f>
        <v>2.2976119264364581</v>
      </c>
      <c r="H21" s="4">
        <f t="shared" si="0"/>
        <v>83.268902466794017</v>
      </c>
      <c r="I21" s="4">
        <f t="shared" si="1"/>
        <v>87.044885933341234</v>
      </c>
      <c r="J21" s="4">
        <f t="shared" si="2"/>
        <v>54.047761471270839</v>
      </c>
      <c r="K21" s="4">
        <f t="shared" si="3"/>
        <v>76.012953554755953</v>
      </c>
    </row>
    <row r="22" spans="1:11">
      <c r="A22" s="5">
        <f>INPUT_ABBANK!A22</f>
        <v>44773</v>
      </c>
      <c r="B22" s="4">
        <f>INPUT_ABBANK!C22</f>
        <v>11.0004543390165</v>
      </c>
      <c r="C22" s="4">
        <f>INPUT_ABBANK!E22</f>
        <v>8.5836097309397843</v>
      </c>
      <c r="D22" s="4">
        <f>INPUT_ABBANK!F22</f>
        <v>15.94769526175639</v>
      </c>
      <c r="E22" s="4">
        <f>INPUT_ABBANK!G22</f>
        <v>3.184942545600161</v>
      </c>
      <c r="F22" s="4">
        <f>INPUT_ABBANK!J22</f>
        <v>89.686131064435614</v>
      </c>
      <c r="G22" s="4">
        <f>INPUT_ABBANK!K22</f>
        <v>2.2723256189107723</v>
      </c>
      <c r="H22" s="4">
        <f t="shared" si="0"/>
        <v>83.001363017049499</v>
      </c>
      <c r="I22" s="4">
        <f t="shared" si="1"/>
        <v>86.889302068449553</v>
      </c>
      <c r="J22" s="4">
        <f t="shared" si="2"/>
        <v>54.553487621784555</v>
      </c>
      <c r="K22" s="4">
        <f t="shared" si="3"/>
        <v>76.022176019030042</v>
      </c>
    </row>
    <row r="23" spans="1:11">
      <c r="A23" s="5">
        <f>INPUT_ABBANK!A23</f>
        <v>44804</v>
      </c>
      <c r="B23" s="4">
        <f>INPUT_ABBANK!C23</f>
        <v>10.886602953235229</v>
      </c>
      <c r="C23" s="4">
        <f>INPUT_ABBANK!E23</f>
        <v>8.3374123751959566</v>
      </c>
      <c r="D23" s="4">
        <f>INPUT_ABBANK!F23</f>
        <v>15.892600175374829</v>
      </c>
      <c r="E23" s="4">
        <f>INPUT_ABBANK!G23</f>
        <v>3.1536053484402737</v>
      </c>
      <c r="F23" s="4">
        <f>INPUT_ABBANK!J23</f>
        <v>89.752894803233517</v>
      </c>
      <c r="G23" s="4">
        <f>INPUT_ABBANK!K23</f>
        <v>2.2427897611836451</v>
      </c>
      <c r="H23" s="4">
        <f t="shared" si="0"/>
        <v>82.659808859705691</v>
      </c>
      <c r="I23" s="4">
        <f t="shared" si="1"/>
        <v>86.633915765674274</v>
      </c>
      <c r="J23" s="4">
        <f t="shared" si="2"/>
        <v>55.144204776327101</v>
      </c>
      <c r="K23" s="4">
        <f t="shared" si="3"/>
        <v>75.994770397079549</v>
      </c>
    </row>
    <row r="24" spans="1:11">
      <c r="A24" s="5">
        <f>INPUT_ABBANK!A24</f>
        <v>44834</v>
      </c>
      <c r="B24" s="4">
        <f>INPUT_ABBANK!C24</f>
        <v>10.749484125450708</v>
      </c>
      <c r="C24" s="4">
        <f>INPUT_ABBANK!E24</f>
        <v>8.0984335446207609</v>
      </c>
      <c r="D24" s="4">
        <f>INPUT_ABBANK!F24</f>
        <v>15.818594853651364</v>
      </c>
      <c r="E24" s="4">
        <f>INPUT_ABBANK!G24</f>
        <v>3.1201573498785891</v>
      </c>
      <c r="F24" s="4">
        <f>INPUT_ABBANK!J24</f>
        <v>89.850588009930206</v>
      </c>
      <c r="G24" s="4">
        <f>INPUT_ABBANK!K24</f>
        <v>2.2094652504363848</v>
      </c>
      <c r="H24" s="4">
        <f t="shared" si="0"/>
        <v>82.248452376352134</v>
      </c>
      <c r="I24" s="4">
        <f t="shared" si="1"/>
        <v>86.266830823860744</v>
      </c>
      <c r="J24" s="4">
        <f t="shared" si="2"/>
        <v>55.810694991272307</v>
      </c>
      <c r="K24" s="4">
        <f t="shared" si="3"/>
        <v>75.92447653983163</v>
      </c>
    </row>
    <row r="25" spans="1:11">
      <c r="A25" s="5">
        <f>INPUT_ABBANK!A25</f>
        <v>44865</v>
      </c>
      <c r="B25" s="4">
        <f>INPUT_ABBANK!C25</f>
        <v>10.590788939824314</v>
      </c>
      <c r="C25" s="4">
        <f>INPUT_ABBANK!E25</f>
        <v>7.8704024239367829</v>
      </c>
      <c r="D25" s="4">
        <f>INPUT_ABBANK!F25</f>
        <v>15.726418733297747</v>
      </c>
      <c r="E25" s="4">
        <f>INPUT_ABBANK!G25</f>
        <v>3.0852800020149664</v>
      </c>
      <c r="F25" s="4">
        <f>INPUT_ABBANK!J25</f>
        <v>89.981995487947358</v>
      </c>
      <c r="G25" s="4">
        <f>INPUT_ABBANK!K25</f>
        <v>2.1728721045135311</v>
      </c>
      <c r="H25" s="4">
        <f t="shared" si="0"/>
        <v>81.77236681947295</v>
      </c>
      <c r="I25" s="4">
        <f t="shared" si="1"/>
        <v>85.780432269455673</v>
      </c>
      <c r="J25" s="4">
        <f t="shared" si="2"/>
        <v>56.542557909729382</v>
      </c>
      <c r="K25" s="4">
        <f t="shared" si="3"/>
        <v>75.806650326542965</v>
      </c>
    </row>
    <row r="26" spans="1:11">
      <c r="A26" s="5">
        <f>INPUT_ABBANK!A26</f>
        <v>44895</v>
      </c>
      <c r="B26" s="4">
        <f>INPUT_ABBANK!C26</f>
        <v>10.412474581370216</v>
      </c>
      <c r="C26" s="4">
        <f>INPUT_ABBANK!E26</f>
        <v>7.6568773625153135</v>
      </c>
      <c r="D26" s="4">
        <f>INPUT_ABBANK!F26</f>
        <v>15.61699280763918</v>
      </c>
      <c r="E26" s="4">
        <f>INPUT_ABBANK!G26</f>
        <v>3.0496838777674053</v>
      </c>
      <c r="F26" s="4">
        <f>INPUT_ABBANK!J26</f>
        <v>90.148374978549072</v>
      </c>
      <c r="G26" s="4">
        <f>INPUT_ABBANK!K26</f>
        <v>2.1335813472183163</v>
      </c>
      <c r="H26" s="4">
        <f t="shared" si="0"/>
        <v>81.237423744110643</v>
      </c>
      <c r="I26" s="4">
        <f t="shared" si="1"/>
        <v>85.171867871991964</v>
      </c>
      <c r="J26" s="4">
        <f t="shared" si="2"/>
        <v>57.328373055633676</v>
      </c>
      <c r="K26" s="4">
        <f t="shared" si="3"/>
        <v>75.638486188720094</v>
      </c>
    </row>
    <row r="27" spans="1:11">
      <c r="A27" s="5">
        <f>INPUT_ABBANK!A27</f>
        <v>44926</v>
      </c>
      <c r="B27" s="4">
        <f>INPUT_ABBANK!C27</f>
        <v>10.216740198026017</v>
      </c>
      <c r="C27" s="4">
        <f>INPUT_ABBANK!E27</f>
        <v>7.4611903475245285</v>
      </c>
      <c r="D27" s="4">
        <f>INPUT_ABBANK!F27</f>
        <v>15.49141042435344</v>
      </c>
      <c r="E27" s="4">
        <f>INPUT_ABBANK!G27</f>
        <v>3.0140941940295454</v>
      </c>
      <c r="F27" s="4">
        <f>INPUT_ABBANK!J27</f>
        <v>90.349358878658023</v>
      </c>
      <c r="G27" s="4">
        <f>INPUT_ABBANK!K27</f>
        <v>2.0922060976771975</v>
      </c>
      <c r="H27" s="4">
        <f t="shared" si="0"/>
        <v>80.65022059407805</v>
      </c>
      <c r="I27" s="4">
        <f t="shared" si="1"/>
        <v>84.443333788379363</v>
      </c>
      <c r="J27" s="4">
        <f t="shared" si="2"/>
        <v>58.155878046456053</v>
      </c>
      <c r="K27" s="4">
        <f t="shared" si="3"/>
        <v>75.419163107511977</v>
      </c>
    </row>
    <row r="28" spans="1:11">
      <c r="A28" s="5">
        <f>INPUT_ABBANK!A28</f>
        <v>44957</v>
      </c>
      <c r="B28" s="4">
        <f>INPUT_ABBANK!C28</f>
        <v>10.005999778598786</v>
      </c>
      <c r="C28" s="4">
        <f>INPUT_ABBANK!E28</f>
        <v>7.2863950093841439</v>
      </c>
      <c r="D28" s="4">
        <f>INPUT_ABBANK!F28</f>
        <v>15.350926361102301</v>
      </c>
      <c r="E28" s="4">
        <f>INPUT_ABBANK!G28</f>
        <v>2.9792360364794361</v>
      </c>
      <c r="F28" s="4">
        <f>INPUT_ABBANK!J28</f>
        <v>90.582928135097262</v>
      </c>
      <c r="G28" s="4">
        <f>INPUT_ABBANK!K28</f>
        <v>2.0493920028209534</v>
      </c>
      <c r="H28" s="4">
        <f t="shared" si="0"/>
        <v>80.017999335796361</v>
      </c>
      <c r="I28" s="4">
        <f t="shared" si="1"/>
        <v>83.602141955810509</v>
      </c>
      <c r="J28" s="4">
        <f t="shared" si="2"/>
        <v>59.012159943580933</v>
      </c>
      <c r="K28" s="4">
        <f t="shared" si="3"/>
        <v>75.149904566137394</v>
      </c>
    </row>
    <row r="29" spans="1:11">
      <c r="A29" s="5">
        <f>INPUT_ABBANK!A29</f>
        <v>44985</v>
      </c>
      <c r="B29" s="4">
        <f>INPUT_ABBANK!C29</f>
        <v>9.7828523810823445</v>
      </c>
      <c r="C29" s="4">
        <f>INPUT_ABBANK!E29</f>
        <v>7.1352189708840257</v>
      </c>
      <c r="D29" s="4">
        <f>INPUT_ABBANK!F29</f>
        <v>15.196944288207913</v>
      </c>
      <c r="E29" s="4">
        <f>INPUT_ABBANK!G29</f>
        <v>2.9458195870616248</v>
      </c>
      <c r="F29" s="4">
        <f>INPUT_ABBANK!J29</f>
        <v>90.845462415550145</v>
      </c>
      <c r="G29" s="4">
        <f>INPUT_ABBANK!K29</f>
        <v>2.0058071622802718</v>
      </c>
      <c r="H29" s="4">
        <f t="shared" si="0"/>
        <v>79.348557143247035</v>
      </c>
      <c r="I29" s="4">
        <f t="shared" si="1"/>
        <v>82.660557041557482</v>
      </c>
      <c r="J29" s="4">
        <f t="shared" si="2"/>
        <v>59.883856754394564</v>
      </c>
      <c r="K29" s="4">
        <f t="shared" si="3"/>
        <v>74.833946985915475</v>
      </c>
    </row>
    <row r="30" spans="1:11">
      <c r="A30" s="5">
        <f>INPUT_ABBANK!A30</f>
        <v>45016</v>
      </c>
      <c r="B30" s="4">
        <f>INPUT_ABBANK!C30</f>
        <v>9.5500500785193978</v>
      </c>
      <c r="C30" s="4">
        <f>INPUT_ABBANK!E30</f>
        <v>7.0100212835428337</v>
      </c>
      <c r="D30" s="4">
        <f>INPUT_ABBANK!F30</f>
        <v>15.031002743642928</v>
      </c>
      <c r="E30" s="4">
        <f>INPUT_ABBANK!G30</f>
        <v>2.9145256551101486</v>
      </c>
      <c r="F30" s="4">
        <f>INPUT_ABBANK!J30</f>
        <v>91.131866693142896</v>
      </c>
      <c r="G30" s="4">
        <f>INPUT_ABBANK!K30</f>
        <v>1.962131702914462</v>
      </c>
      <c r="H30" s="4">
        <f t="shared" si="0"/>
        <v>78.650150235558186</v>
      </c>
      <c r="I30" s="4">
        <f t="shared" si="1"/>
        <v>81.63540266421424</v>
      </c>
      <c r="J30" s="4">
        <f t="shared" si="2"/>
        <v>60.757365941710759</v>
      </c>
      <c r="K30" s="4">
        <f t="shared" si="3"/>
        <v>74.47641591886638</v>
      </c>
    </row>
    <row r="31" spans="1:11">
      <c r="A31" s="5">
        <f>INPUT_ABBANK!A31</f>
        <v>45046</v>
      </c>
      <c r="B31" s="4">
        <f>INPUT_ABBANK!C31</f>
        <v>9.3104640177317073</v>
      </c>
      <c r="C31" s="4">
        <f>INPUT_ABBANK!E31</f>
        <v>6.9127556153980763</v>
      </c>
      <c r="D31" s="4">
        <f>INPUT_ABBANK!F31</f>
        <v>14.85475976046766</v>
      </c>
      <c r="E31" s="4">
        <f>INPUT_ABBANK!G31</f>
        <v>2.8859918068937889</v>
      </c>
      <c r="F31" s="4">
        <f>INPUT_ABBANK!J31</f>
        <v>91.435770114303395</v>
      </c>
      <c r="G31" s="4">
        <f>INPUT_ABBANK!K31</f>
        <v>1.9190471656592925</v>
      </c>
      <c r="H31" s="4">
        <f t="shared" si="0"/>
        <v>77.931392053195125</v>
      </c>
      <c r="I31" s="4">
        <f t="shared" si="1"/>
        <v>80.547449417557473</v>
      </c>
      <c r="J31" s="4">
        <f t="shared" si="2"/>
        <v>61.619056686814147</v>
      </c>
      <c r="K31" s="4">
        <f t="shared" si="3"/>
        <v>74.084114389025771</v>
      </c>
    </row>
    <row r="32" spans="1:11">
      <c r="A32" s="5">
        <f>INPUT_ABBANK!A32</f>
        <v>45077</v>
      </c>
      <c r="B32" s="4">
        <f>INPUT_ABBANK!C32</f>
        <v>9.0670490095153706</v>
      </c>
      <c r="C32" s="4">
        <f>INPUT_ABBANK!E32</f>
        <v>6.8449397646698067</v>
      </c>
      <c r="D32" s="4">
        <f>INPUT_ABBANK!F32</f>
        <v>14.669976300311809</v>
      </c>
      <c r="E32" s="4">
        <f>INPUT_ABBANK!G32</f>
        <v>2.8607993761730177</v>
      </c>
      <c r="F32" s="4">
        <f>INPUT_ABBANK!J32</f>
        <v>91.749788780820325</v>
      </c>
      <c r="G32" s="4">
        <f>INPUT_ABBANK!K32</f>
        <v>1.8772258703086331</v>
      </c>
      <c r="H32" s="4">
        <f t="shared" si="0"/>
        <v>77.201147028546103</v>
      </c>
      <c r="I32" s="4">
        <f t="shared" si="1"/>
        <v>79.420609957850843</v>
      </c>
      <c r="J32" s="4">
        <f t="shared" si="2"/>
        <v>62.455482593827341</v>
      </c>
      <c r="K32" s="4">
        <f t="shared" si="3"/>
        <v>73.665232869852375</v>
      </c>
    </row>
    <row r="33" spans="1:11">
      <c r="A33" s="5">
        <f>INPUT_ABBANK!A33</f>
        <v>45107</v>
      </c>
      <c r="B33" s="4">
        <f>INPUT_ABBANK!C33</f>
        <v>8.8228070870097284</v>
      </c>
      <c r="C33" s="4">
        <f>INPUT_ABBANK!E33</f>
        <v>6.807631975027042</v>
      </c>
      <c r="D33" s="4">
        <f>INPUT_ABBANK!F33</f>
        <v>14.478498658427965</v>
      </c>
      <c r="E33" s="4">
        <f>INPUT_ABBANK!G33</f>
        <v>2.8394616204087733</v>
      </c>
      <c r="F33" s="4">
        <f>INPUT_ABBANK!J33</f>
        <v>92.065840225145251</v>
      </c>
      <c r="G33" s="4">
        <f>INPUT_ABBANK!K33</f>
        <v>1.8373204241889369</v>
      </c>
      <c r="H33" s="4">
        <f t="shared" si="0"/>
        <v>76.468421261029192</v>
      </c>
      <c r="I33" s="4">
        <f t="shared" si="1"/>
        <v>78.280977982992212</v>
      </c>
      <c r="J33" s="4">
        <f t="shared" si="2"/>
        <v>63.253591516221263</v>
      </c>
      <c r="K33" s="4">
        <f t="shared" si="3"/>
        <v>73.228995026372019</v>
      </c>
    </row>
    <row r="34" spans="1:11">
      <c r="A34" s="5">
        <f>INPUT_ABBANK!A34</f>
        <v>45138</v>
      </c>
      <c r="B34" s="4">
        <f>INPUT_ABBANK!C34</f>
        <v>8.5807504816739328</v>
      </c>
      <c r="C34" s="4">
        <f>INPUT_ABBANK!E34</f>
        <v>6.8014144220492447</v>
      </c>
      <c r="D34" s="4">
        <f>INPUT_ABBANK!F34</f>
        <v>14.282240016119735</v>
      </c>
      <c r="E34" s="4">
        <f>INPUT_ABBANK!G34</f>
        <v>2.8224132639223041</v>
      </c>
      <c r="F34" s="4">
        <f>INPUT_ABBANK!J34</f>
        <v>92.375494232574184</v>
      </c>
      <c r="G34" s="4">
        <f>INPUT_ABBANK!K34</f>
        <v>1.7999535384401797</v>
      </c>
      <c r="H34" s="4">
        <f t="shared" si="0"/>
        <v>75.742251445021793</v>
      </c>
      <c r="I34" s="4">
        <f t="shared" si="1"/>
        <v>77.155757318397178</v>
      </c>
      <c r="J34" s="4">
        <f t="shared" si="2"/>
        <v>64.000929231196409</v>
      </c>
      <c r="K34" s="4">
        <f t="shared" si="3"/>
        <v>72.785257130224323</v>
      </c>
    </row>
    <row r="35" spans="1:11">
      <c r="A35" s="5">
        <f>INPUT_ABBANK!A35</f>
        <v>45169</v>
      </c>
      <c r="B35" s="4">
        <f>INPUT_ABBANK!C35</f>
        <v>8.3438644734878</v>
      </c>
      <c r="C35" s="4">
        <f>INPUT_ABBANK!E35</f>
        <v>6.8263841285711182</v>
      </c>
      <c r="D35" s="4">
        <f>INPUT_ABBANK!F35</f>
        <v>14.08316132486658</v>
      </c>
      <c r="E35" s="4">
        <f>INPUT_ABBANK!G35</f>
        <v>2.8100016410482915</v>
      </c>
      <c r="F35" s="4">
        <f>INPUT_ABBANK!J35</f>
        <v>92.670342541345207</v>
      </c>
      <c r="G35" s="4">
        <f>INPUT_ABBANK!K35</f>
        <v>1.7657083108167924</v>
      </c>
      <c r="H35" s="4">
        <f t="shared" si="0"/>
        <v>75.031593420463395</v>
      </c>
      <c r="I35" s="4">
        <f t="shared" si="1"/>
        <v>76.07213370083096</v>
      </c>
      <c r="J35" s="4">
        <f t="shared" si="2"/>
        <v>64.685833783664151</v>
      </c>
      <c r="K35" s="4">
        <f t="shared" si="3"/>
        <v>72.344081641570639</v>
      </c>
    </row>
    <row r="36" spans="1:11">
      <c r="A36" s="5">
        <f>INPUT_ABBANK!A36</f>
        <v>45199</v>
      </c>
      <c r="B36" s="4">
        <f>INPUT_ABBANK!C36</f>
        <v>8.1150705735448021</v>
      </c>
      <c r="C36" s="4">
        <f>INPUT_ABBANK!E36</f>
        <v>6.8821514506737236</v>
      </c>
      <c r="D36" s="4">
        <f>INPUT_ABBANK!F36</f>
        <v>13.883251713144841</v>
      </c>
      <c r="E36" s="4">
        <f>INPUT_ABBANK!G36</f>
        <v>2.8024796197260411</v>
      </c>
      <c r="F36" s="4">
        <f>INPUT_ABBANK!J36</f>
        <v>92.942369008223352</v>
      </c>
      <c r="G36" s="4">
        <f>INPUT_ABBANK!K36</f>
        <v>1.7351191266422252</v>
      </c>
      <c r="H36" s="4">
        <f t="shared" ref="H36:H67" si="4">MIN(100,MAX(0,50+B36*3))</f>
        <v>74.34521172063441</v>
      </c>
      <c r="I36" s="4">
        <f t="shared" ref="I36:I67" si="5">MAX(0,100-(MAX(0,F36-80)*3)+D36)</f>
        <v>75.056144688474788</v>
      </c>
      <c r="J36" s="4">
        <f t="shared" ref="J36:J67" si="6">MAX(0,100-G36*20)</f>
        <v>65.297617467155504</v>
      </c>
      <c r="K36" s="4">
        <f t="shared" ref="K36:K67" si="7">0.3*H36+0.4*I36+0.3*J36</f>
        <v>71.915306631726892</v>
      </c>
    </row>
    <row r="37" spans="1:11">
      <c r="A37" s="5">
        <f>INPUT_ABBANK!A37</f>
        <v>45230</v>
      </c>
      <c r="B37" s="4">
        <f>INPUT_ABBANK!C37</f>
        <v>7.8971904931056418</v>
      </c>
      <c r="C37" s="4">
        <f>INPUT_ABBANK!E37</f>
        <v>6.9678461579475135</v>
      </c>
      <c r="D37" s="4">
        <f>INPUT_ABBANK!F37</f>
        <v>13.684508611713504</v>
      </c>
      <c r="E37" s="4">
        <f>INPUT_ABBANK!G37</f>
        <v>2.8000004496998012</v>
      </c>
      <c r="F37" s="4">
        <f>INPUT_ABBANK!J37</f>
        <v>93.18430211694988</v>
      </c>
      <c r="G37" s="4">
        <f>INPUT_ABBANK!K37</f>
        <v>1.7086633199047045</v>
      </c>
      <c r="H37" s="4">
        <f t="shared" si="4"/>
        <v>73.691571479316934</v>
      </c>
      <c r="I37" s="4">
        <f t="shared" si="5"/>
        <v>74.131602260863872</v>
      </c>
      <c r="J37" s="4">
        <f t="shared" si="6"/>
        <v>65.826733601905914</v>
      </c>
      <c r="K37" s="4">
        <f t="shared" si="7"/>
        <v>71.5081324287124</v>
      </c>
    </row>
    <row r="38" spans="1:11">
      <c r="A38" s="5">
        <f>INPUT_ABBANK!A38</f>
        <v>45260</v>
      </c>
      <c r="B38" s="4">
        <f>INPUT_ABBANK!C38</f>
        <v>7.6929113434814669</v>
      </c>
      <c r="C38" s="4">
        <f>INPUT_ABBANK!E38</f>
        <v>7.0821310131468165</v>
      </c>
      <c r="D38" s="4">
        <f>INPUT_ABBANK!F38</f>
        <v>13.488917795946337</v>
      </c>
      <c r="E38" s="4">
        <f>INPUT_ABBANK!G38</f>
        <v>2.8026146402883048</v>
      </c>
      <c r="F38" s="4">
        <f>INPUT_ABBANK!J38</f>
        <v>93.389933158120499</v>
      </c>
      <c r="G38" s="4">
        <f>INPUT_ABBANK!K38</f>
        <v>1.6867537246199957</v>
      </c>
      <c r="H38" s="4">
        <f t="shared" si="4"/>
        <v>73.078734030444394</v>
      </c>
      <c r="I38" s="4">
        <f t="shared" si="5"/>
        <v>73.319118321584838</v>
      </c>
      <c r="J38" s="4">
        <f t="shared" si="6"/>
        <v>66.264925507600083</v>
      </c>
      <c r="K38" s="4">
        <f t="shared" si="7"/>
        <v>71.130745190047278</v>
      </c>
    </row>
    <row r="39" spans="1:11">
      <c r="A39" s="5">
        <f>INPUT_ABBANK!A39</f>
        <v>45291</v>
      </c>
      <c r="B39" s="4">
        <f>INPUT_ABBANK!C39</f>
        <v>7.5047524959359588</v>
      </c>
      <c r="C39" s="4">
        <f>INPUT_ABBANK!E39</f>
        <v>7.2232226393298076</v>
      </c>
      <c r="D39" s="4">
        <f>INPUT_ABBANK!F39</f>
        <v>13.29843354462076</v>
      </c>
      <c r="E39" s="4">
        <f>INPUT_ABBANK!G39</f>
        <v>2.8102689313342153</v>
      </c>
      <c r="F39" s="4">
        <f>INPUT_ABBANK!J39</f>
        <v>93.554385838410653</v>
      </c>
      <c r="G39" s="4">
        <f>INPUT_ABBANK!K39</f>
        <v>1.6697322326946631</v>
      </c>
      <c r="H39" s="4">
        <f t="shared" si="4"/>
        <v>72.514257487807868</v>
      </c>
      <c r="I39" s="4">
        <f t="shared" si="5"/>
        <v>72.635276029388805</v>
      </c>
      <c r="J39" s="4">
        <f t="shared" si="6"/>
        <v>66.605355346106734</v>
      </c>
      <c r="K39" s="4">
        <f t="shared" si="7"/>
        <v>70.789994261929905</v>
      </c>
    </row>
    <row r="40" spans="1:11">
      <c r="A40" s="5">
        <f>INPUT_ABBANK!A40</f>
        <v>45322</v>
      </c>
      <c r="B40" s="4">
        <f>INPUT_ABBANK!C40</f>
        <v>7.3350345103225578</v>
      </c>
      <c r="C40" s="4">
        <f>INPUT_ABBANK!E40</f>
        <v>7.3889193488592166</v>
      </c>
      <c r="D40" s="4">
        <f>INPUT_ABBANK!F40</f>
        <v>13.114959113410295</v>
      </c>
      <c r="E40" s="4">
        <f>INPUT_ABBANK!G40</f>
        <v>2.8228073782988314</v>
      </c>
      <c r="F40" s="4">
        <f>INPUT_ABBANK!J40</f>
        <v>93.674326219958843</v>
      </c>
      <c r="G40" s="4">
        <f>INPUT_ABBANK!K40</f>
        <v>1.657864458817216</v>
      </c>
      <c r="H40" s="4">
        <f t="shared" si="4"/>
        <v>72.005103530967673</v>
      </c>
      <c r="I40" s="4">
        <f t="shared" si="5"/>
        <v>72.091980453533765</v>
      </c>
      <c r="J40" s="4">
        <f t="shared" si="6"/>
        <v>66.842710823655679</v>
      </c>
      <c r="K40" s="4">
        <f t="shared" si="7"/>
        <v>70.491136487800517</v>
      </c>
    </row>
    <row r="41" spans="1:11">
      <c r="A41" s="5">
        <f>INPUT_ABBANK!A41</f>
        <v>45351</v>
      </c>
      <c r="B41" s="4">
        <f>INPUT_ABBANK!C41</f>
        <v>7.1858505156594283</v>
      </c>
      <c r="C41" s="4">
        <f>INPUT_ABBANK!E41</f>
        <v>7.5766355000015366</v>
      </c>
      <c r="D41" s="4">
        <f>INPUT_ABBANK!F41</f>
        <v>12.940327718183013</v>
      </c>
      <c r="E41" s="4">
        <f>INPUT_ABBANK!G41</f>
        <v>2.839974529394889</v>
      </c>
      <c r="F41" s="4">
        <f>INPUT_ABBANK!J41</f>
        <v>93.748105440155911</v>
      </c>
      <c r="G41" s="4">
        <f>INPUT_ABBANK!K41</f>
        <v>1.6513355956297322</v>
      </c>
      <c r="H41" s="4">
        <f t="shared" si="4"/>
        <v>71.557551546978289</v>
      </c>
      <c r="I41" s="4">
        <f t="shared" si="5"/>
        <v>71.696011397715282</v>
      </c>
      <c r="J41" s="4">
        <f t="shared" si="6"/>
        <v>66.973288087405365</v>
      </c>
      <c r="K41" s="4">
        <f t="shared" si="7"/>
        <v>70.237656449401214</v>
      </c>
    </row>
    <row r="42" spans="1:11">
      <c r="A42" s="5">
        <f>INPUT_ABBANK!A42</f>
        <v>45382</v>
      </c>
      <c r="B42" s="4">
        <f>INPUT_ABBANK!C42</f>
        <v>7.0590403956050185</v>
      </c>
      <c r="C42" s="4">
        <f>INPUT_ABBANK!E42</f>
        <v>7.7834418450014837</v>
      </c>
      <c r="D42" s="4">
        <f>INPUT_ABBANK!F42</f>
        <v>12.776284218114561</v>
      </c>
      <c r="E42" s="4">
        <f>INPUT_ABBANK!G42</f>
        <v>2.861420630028209</v>
      </c>
      <c r="F42" s="4">
        <f>INPUT_ABBANK!J42</f>
        <v>93.775831309757095</v>
      </c>
      <c r="G42" s="4">
        <f>INPUT_ABBANK!K42</f>
        <v>1.6502475238586176</v>
      </c>
      <c r="H42" s="4">
        <f t="shared" si="4"/>
        <v>71.177121186815057</v>
      </c>
      <c r="I42" s="4">
        <f t="shared" si="5"/>
        <v>71.44879028884327</v>
      </c>
      <c r="J42" s="4">
        <f t="shared" si="6"/>
        <v>66.995049522827657</v>
      </c>
      <c r="K42" s="4">
        <f t="shared" si="7"/>
        <v>70.031167328430115</v>
      </c>
    </row>
    <row r="43" spans="1:11">
      <c r="A43" s="5">
        <f>INPUT_ABBANK!A43</f>
        <v>45412</v>
      </c>
      <c r="B43" s="4">
        <f>INPUT_ABBANK!C43</f>
        <v>6.9561680972043236</v>
      </c>
      <c r="C43" s="4">
        <f>INPUT_ABBANK!E43</f>
        <v>8.0061112400135066</v>
      </c>
      <c r="D43" s="4">
        <f>INPUT_ABBANK!F43</f>
        <v>12.624467681632053</v>
      </c>
      <c r="E43" s="4">
        <f>INPUT_ABBANK!G43</f>
        <v>2.8867087485156171</v>
      </c>
      <c r="F43" s="4">
        <f>INPUT_ABBANK!J43</f>
        <v>93.759368359761595</v>
      </c>
      <c r="G43" s="4">
        <f>INPUT_ABBANK!K43</f>
        <v>1.6546172224999456</v>
      </c>
      <c r="H43" s="4">
        <f t="shared" si="4"/>
        <v>70.868504291612965</v>
      </c>
      <c r="I43" s="4">
        <f t="shared" si="5"/>
        <v>71.34636260234727</v>
      </c>
      <c r="J43" s="4">
        <f t="shared" si="6"/>
        <v>66.907655550001095</v>
      </c>
      <c r="K43" s="4">
        <f t="shared" si="7"/>
        <v>69.871392993423129</v>
      </c>
    </row>
    <row r="44" spans="1:11">
      <c r="A44" s="5">
        <f>INPUT_ABBANK!A44</f>
        <v>45443</v>
      </c>
      <c r="B44" s="4">
        <f>INPUT_ABBANK!C44</f>
        <v>6.878502342756688</v>
      </c>
      <c r="C44" s="4">
        <f>INPUT_ABBANK!E44</f>
        <v>8.241169003602149</v>
      </c>
      <c r="D44" s="4">
        <f>INPUT_ABBANK!F44</f>
        <v>12.486395009384143</v>
      </c>
      <c r="E44" s="4">
        <f>INPUT_ABBANK!G44</f>
        <v>2.9153236779034608</v>
      </c>
      <c r="F44" s="4">
        <f>INPUT_ABBANK!J44</f>
        <v>93.702268992974169</v>
      </c>
      <c r="G44" s="4">
        <f>INPUT_ABBANK!K44</f>
        <v>1.6643765038679015</v>
      </c>
      <c r="H44" s="4">
        <f t="shared" si="4"/>
        <v>70.635507028270069</v>
      </c>
      <c r="I44" s="4">
        <f t="shared" si="5"/>
        <v>71.379588030461633</v>
      </c>
      <c r="J44" s="4">
        <f t="shared" si="6"/>
        <v>66.712469922641972</v>
      </c>
      <c r="K44" s="4">
        <f t="shared" si="7"/>
        <v>69.756228297458264</v>
      </c>
    </row>
    <row r="45" spans="1:11">
      <c r="A45" s="5">
        <f>INPUT_ABBANK!A45</f>
        <v>45473</v>
      </c>
      <c r="B45" s="4">
        <f>INPUT_ABBANK!C45</f>
        <v>6.8270009826853553</v>
      </c>
      <c r="C45" s="4">
        <f>INPUT_ABBANK!E45</f>
        <v>8.4849471379837151</v>
      </c>
      <c r="D45" s="4">
        <f>INPUT_ABBANK!F45</f>
        <v>12.363445777871179</v>
      </c>
      <c r="E45" s="4">
        <f>INPUT_ABBANK!G45</f>
        <v>2.9466824325257148</v>
      </c>
      <c r="F45" s="4">
        <f>INPUT_ABBANK!J45</f>
        <v>93.609640958289575</v>
      </c>
      <c r="G45" s="4">
        <f>INPUT_ABBANK!K45</f>
        <v>1.6793730776408147</v>
      </c>
      <c r="H45" s="4">
        <f t="shared" si="4"/>
        <v>70.481002948056073</v>
      </c>
      <c r="I45" s="4">
        <f t="shared" si="5"/>
        <v>71.534522903002454</v>
      </c>
      <c r="J45" s="4">
        <f t="shared" si="6"/>
        <v>66.412538447183707</v>
      </c>
      <c r="K45" s="4">
        <f t="shared" si="7"/>
        <v>69.681871579772917</v>
      </c>
    </row>
    <row r="46" spans="1:11">
      <c r="A46" s="5">
        <f>INPUT_ABBANK!A46</f>
        <v>45504</v>
      </c>
      <c r="B46" s="4">
        <f>INPUT_ABBANK!C46</f>
        <v>6.8022991823845578</v>
      </c>
      <c r="C46" s="4">
        <f>INPUT_ABBANK!E46</f>
        <v>8.7336415669048879</v>
      </c>
      <c r="D46" s="4">
        <f>INPUT_ABBANK!F46</f>
        <v>12.256848455172824</v>
      </c>
      <c r="E46" s="4">
        <f>INPUT_ABBANK!G46</f>
        <v>2.9801461254502684</v>
      </c>
      <c r="F46" s="4">
        <f>INPUT_ABBANK!J46</f>
        <v>93.487958345698956</v>
      </c>
      <c r="G46" s="4">
        <f>INPUT_ABBANK!K46</f>
        <v>1.6993729273006928</v>
      </c>
      <c r="H46" s="4">
        <f t="shared" si="4"/>
        <v>70.406897547153676</v>
      </c>
      <c r="I46" s="4">
        <f t="shared" si="5"/>
        <v>71.79297341807596</v>
      </c>
      <c r="J46" s="4">
        <f t="shared" si="6"/>
        <v>66.012541453986145</v>
      </c>
      <c r="K46" s="4">
        <f t="shared" si="7"/>
        <v>69.643021067572334</v>
      </c>
    </row>
    <row r="47" spans="1:11">
      <c r="A47" s="5">
        <f>INPUT_ABBANK!A47</f>
        <v>45535</v>
      </c>
      <c r="B47" s="4">
        <f>INPUT_ABBANK!C47</f>
        <v>6.8047015887355506</v>
      </c>
      <c r="C47" s="4">
        <f>INPUT_ABBANK!E47</f>
        <v>8.9833714969803555</v>
      </c>
      <c r="D47" s="4">
        <f>INPUT_ABBANK!F47</f>
        <v>12.16766812650109</v>
      </c>
      <c r="E47" s="4">
        <f>INPUT_ABBANK!G47</f>
        <v>3.0150329848284878</v>
      </c>
      <c r="F47" s="4">
        <f>INPUT_ABBANK!J47</f>
        <v>93.344824707841923</v>
      </c>
      <c r="G47" s="4">
        <f>INPUT_ABBANK!K47</f>
        <v>1.7240639618827163</v>
      </c>
      <c r="H47" s="4">
        <f t="shared" si="4"/>
        <v>70.414104766206648</v>
      </c>
      <c r="I47" s="4">
        <f t="shared" si="5"/>
        <v>72.133194002975316</v>
      </c>
      <c r="J47" s="4">
        <f t="shared" si="6"/>
        <v>65.51872076234568</v>
      </c>
      <c r="K47" s="4">
        <f t="shared" si="7"/>
        <v>69.633125259755829</v>
      </c>
    </row>
    <row r="48" spans="1:11">
      <c r="A48" s="5">
        <f>INPUT_ABBANK!A48</f>
        <v>45565</v>
      </c>
      <c r="B48" s="4">
        <f>INPUT_ABBANK!C48</f>
        <v>6.8341785729018376</v>
      </c>
      <c r="C48" s="4">
        <f>INPUT_ABBANK!E48</f>
        <v>9.230239976175632</v>
      </c>
      <c r="D48" s="4">
        <f>INPUT_ABBANK!F48</f>
        <v>12.096795852220968</v>
      </c>
      <c r="E48" s="4">
        <f>INPUT_ABBANK!G48</f>
        <v>3.0506322439597304</v>
      </c>
      <c r="F48" s="4">
        <f>INPUT_ABBANK!J48</f>
        <v>93.18869781265245</v>
      </c>
      <c r="G48" s="4">
        <f>INPUT_ABBANK!K48</f>
        <v>1.7530608860503629</v>
      </c>
      <c r="H48" s="4">
        <f t="shared" si="4"/>
        <v>70.502535718705516</v>
      </c>
      <c r="I48" s="4">
        <f t="shared" si="5"/>
        <v>72.530702414263615</v>
      </c>
      <c r="J48" s="4">
        <f t="shared" si="6"/>
        <v>64.938782278992733</v>
      </c>
      <c r="K48" s="4">
        <f t="shared" si="7"/>
        <v>69.644676365014917</v>
      </c>
    </row>
    <row r="49" spans="1:11">
      <c r="A49" s="5">
        <f>INPUT_ABBANK!A49</f>
        <v>45596</v>
      </c>
      <c r="B49" s="4">
        <f>INPUT_ABBANK!C49</f>
        <v>6.8903665957410958</v>
      </c>
      <c r="C49" s="4">
        <f>INPUT_ABBANK!E49</f>
        <v>9.4703947044401708</v>
      </c>
      <c r="D49" s="4">
        <f>INPUT_ABBANK!F49</f>
        <v>12.044939764669806</v>
      </c>
      <c r="E49" s="4">
        <f>INPUT_ABBANK!G49</f>
        <v>3.0862186220818688</v>
      </c>
      <c r="F49" s="4">
        <f>INPUT_ABBANK!J49</f>
        <v>93.028586017711973</v>
      </c>
      <c r="G49" s="4">
        <f>INPUT_ABBANK!K49</f>
        <v>1.785911212500269</v>
      </c>
      <c r="H49" s="4">
        <f t="shared" si="4"/>
        <v>70.671099787223284</v>
      </c>
      <c r="I49" s="4">
        <f t="shared" si="5"/>
        <v>72.959181711533887</v>
      </c>
      <c r="J49" s="4">
        <f t="shared" si="6"/>
        <v>64.281775749994623</v>
      </c>
      <c r="K49" s="4">
        <f t="shared" si="7"/>
        <v>69.669535345778925</v>
      </c>
    </row>
    <row r="50" spans="1:11">
      <c r="A50" s="5">
        <f>INPUT_ABBANK!A50</f>
        <v>45626</v>
      </c>
      <c r="B50" s="4">
        <f>INPUT_ABBANK!C50</f>
        <v>6.9725726913272137</v>
      </c>
      <c r="C50" s="4">
        <f>INPUT_ABBANK!E50</f>
        <v>9.7000881475612353</v>
      </c>
      <c r="D50" s="4">
        <f>INPUT_ABBANK!F50</f>
        <v>12.012617992733071</v>
      </c>
      <c r="E50" s="4">
        <f>INPUT_ABBANK!G50</f>
        <v>3.1210671008637463</v>
      </c>
      <c r="F50" s="4">
        <f>INPUT_ABBANK!J50</f>
        <v>92.873726440054412</v>
      </c>
      <c r="G50" s="4">
        <f>INPUT_ABBANK!K50</f>
        <v>1.8221023228752595</v>
      </c>
      <c r="H50" s="4">
        <f t="shared" si="4"/>
        <v>70.917718073981632</v>
      </c>
      <c r="I50" s="4">
        <f t="shared" si="5"/>
        <v>73.391438672569834</v>
      </c>
      <c r="J50" s="4">
        <f t="shared" si="6"/>
        <v>63.557953542494808</v>
      </c>
      <c r="K50" s="4">
        <f t="shared" si="7"/>
        <v>69.699276953970866</v>
      </c>
    </row>
    <row r="51" spans="1:11">
      <c r="A51" s="5">
        <f>INPUT_ABBANK!A51</f>
        <v>45657</v>
      </c>
      <c r="B51" s="4">
        <f>INPUT_ABBANK!C51</f>
        <v>7.0797830132872308</v>
      </c>
      <c r="C51" s="4">
        <f>INPUT_ABBANK!E51</f>
        <v>9.9157360161818815</v>
      </c>
      <c r="D51" s="4">
        <f>INPUT_ABBANK!F51</f>
        <v>12.000153484871799</v>
      </c>
      <c r="E51" s="4">
        <f>INPUT_ABBANK!G51</f>
        <v>3.1544676955509976</v>
      </c>
      <c r="F51" s="4">
        <f>INPUT_ABBANK!J51</f>
        <v>92.733255080216495</v>
      </c>
      <c r="G51" s="4">
        <f>INPUT_ABBANK!K51</f>
        <v>1.8610694670023635</v>
      </c>
      <c r="H51" s="4">
        <f t="shared" si="4"/>
        <v>71.239349039861693</v>
      </c>
      <c r="I51" s="4">
        <f t="shared" si="5"/>
        <v>73.800388244222319</v>
      </c>
      <c r="J51" s="4">
        <f t="shared" si="6"/>
        <v>62.778610659952733</v>
      </c>
      <c r="K51" s="4">
        <f t="shared" si="7"/>
        <v>69.725543207633251</v>
      </c>
    </row>
    <row r="52" spans="1:11">
      <c r="A52" s="5">
        <f>INPUT_ABBANK!A52</f>
        <v>45688</v>
      </c>
      <c r="B52" s="4">
        <f>INPUT_ABBANK!C52</f>
        <v>7.210675338551324</v>
      </c>
      <c r="C52" s="4">
        <f>INPUT_ABBANK!E52</f>
        <v>10.113973197437579</v>
      </c>
      <c r="D52" s="4">
        <f>INPUT_ABBANK!F52</f>
        <v>12.007670782328319</v>
      </c>
      <c r="E52" s="4">
        <f>INPUT_ABBANK!G52</f>
        <v>3.185739919825608</v>
      </c>
      <c r="F52" s="4">
        <f>INPUT_ABBANK!J52</f>
        <v>92.615878931699172</v>
      </c>
      <c r="G52" s="4">
        <f>INPUT_ABBANK!K52</f>
        <v>1.902204575630376</v>
      </c>
      <c r="H52" s="4">
        <f t="shared" si="4"/>
        <v>71.632026015653963</v>
      </c>
      <c r="I52" s="4">
        <f t="shared" si="5"/>
        <v>74.160033987230804</v>
      </c>
      <c r="J52" s="4">
        <f t="shared" si="6"/>
        <v>61.955908487392477</v>
      </c>
      <c r="K52" s="4">
        <f t="shared" si="7"/>
        <v>69.740393945806261</v>
      </c>
    </row>
    <row r="53" spans="1:11">
      <c r="A53" s="5">
        <f>INPUT_ABBANK!A53</f>
        <v>45716</v>
      </c>
      <c r="B53" s="4">
        <f>INPUT_ABBANK!C53</f>
        <v>7.363635374307365</v>
      </c>
      <c r="C53" s="4">
        <f>INPUT_ABBANK!E53</f>
        <v>10.291706266416975</v>
      </c>
      <c r="D53" s="4">
        <f>INPUT_ABBANK!F53</f>
        <v>12.035094774751336</v>
      </c>
      <c r="E53" s="4">
        <f>INPUT_ABBANK!G53</f>
        <v>3.2142466496796969</v>
      </c>
      <c r="F53" s="4">
        <f>INPUT_ABBANK!J53</f>
        <v>92.52955992248711</v>
      </c>
      <c r="G53" s="4">
        <f>INPUT_ABBANK!K53</f>
        <v>1.9448657491471499</v>
      </c>
      <c r="H53" s="4">
        <f t="shared" si="4"/>
        <v>72.090906122922092</v>
      </c>
      <c r="I53" s="4">
        <f t="shared" si="5"/>
        <v>74.44641500729</v>
      </c>
      <c r="J53" s="4">
        <f t="shared" si="6"/>
        <v>61.102685017056999</v>
      </c>
      <c r="K53" s="4">
        <f t="shared" si="7"/>
        <v>69.736643344909723</v>
      </c>
    </row>
    <row r="54" spans="1:11">
      <c r="A54" s="5">
        <f>INPUT_ABBANK!A54</f>
        <v>45747</v>
      </c>
      <c r="B54" s="4">
        <f>INPUT_ABBANK!C54</f>
        <v>7.5367766670465901</v>
      </c>
      <c r="C54" s="4">
        <f>INPUT_ABBANK!E54</f>
        <v>10.446161758023012</v>
      </c>
      <c r="D54" s="4">
        <f>INPUT_ABBANK!F54</f>
        <v>12.082151450673724</v>
      </c>
      <c r="E54" s="4">
        <f>INPUT_ABBANK!G54</f>
        <v>3.2394071038481798</v>
      </c>
      <c r="F54" s="4">
        <f>INPUT_ABBANK!J54</f>
        <v>92.481220314548807</v>
      </c>
      <c r="G54" s="4">
        <f>INPUT_ABBANK!K54</f>
        <v>1.988387274208355</v>
      </c>
      <c r="H54" s="4">
        <f t="shared" si="4"/>
        <v>72.610330001139772</v>
      </c>
      <c r="I54" s="4">
        <f t="shared" si="5"/>
        <v>74.638490507027299</v>
      </c>
      <c r="J54" s="4">
        <f t="shared" si="6"/>
        <v>60.232254515832899</v>
      </c>
      <c r="K54" s="4">
        <f t="shared" si="7"/>
        <v>69.70817155790273</v>
      </c>
    </row>
    <row r="55" spans="1:11">
      <c r="A55" s="5">
        <f>INPUT_ABBANK!A55</f>
        <v>45777</v>
      </c>
      <c r="B55" s="4">
        <f>INPUT_ABBANK!C55</f>
        <v>7.7279638681625205</v>
      </c>
      <c r="C55" s="4">
        <f>INPUT_ABBANK!E55</f>
        <v>10.57492944596815</v>
      </c>
      <c r="D55" s="4">
        <f>INPUT_ABBANK!F55</f>
        <v>12.148370635344534</v>
      </c>
      <c r="E55" s="4">
        <f>INPUT_ABBANK!G55</f>
        <v>3.2607086763437376</v>
      </c>
      <c r="F55" s="4">
        <f>INPUT_ABBANK!J55</f>
        <v>92.47647891493483</v>
      </c>
      <c r="G55" s="4">
        <f>INPUT_ABBANK!K55</f>
        <v>2.0320900119715621</v>
      </c>
      <c r="H55" s="4">
        <f t="shared" si="4"/>
        <v>73.18389160448757</v>
      </c>
      <c r="I55" s="4">
        <f t="shared" si="5"/>
        <v>74.718933890540043</v>
      </c>
      <c r="J55" s="4">
        <f t="shared" si="6"/>
        <v>59.358199760568759</v>
      </c>
      <c r="K55" s="4">
        <f t="shared" si="7"/>
        <v>69.650200965732921</v>
      </c>
    </row>
    <row r="56" spans="1:11">
      <c r="A56" s="5">
        <f>INPUT_ABBANK!A56</f>
        <v>45808</v>
      </c>
      <c r="B56" s="4">
        <f>INPUT_ABBANK!C56</f>
        <v>7.9348390691688415</v>
      </c>
      <c r="C56" s="4">
        <f>INPUT_ABBANK!E56</f>
        <v>10.675999953549479</v>
      </c>
      <c r="D56" s="4">
        <f>INPUT_ABBANK!F56</f>
        <v>12.233090688559694</v>
      </c>
      <c r="E56" s="4">
        <f>INPUT_ABBANK!G56</f>
        <v>3.2777173800241917</v>
      </c>
      <c r="F56" s="4">
        <f>INPUT_ABBANK!J56</f>
        <v>92.519427080142407</v>
      </c>
      <c r="G56" s="4">
        <f>INPUT_ABBANK!K56</f>
        <v>2.0752919958307352</v>
      </c>
      <c r="H56" s="4">
        <f t="shared" si="4"/>
        <v>73.804517207506521</v>
      </c>
      <c r="I56" s="4">
        <f t="shared" si="5"/>
        <v>74.674809448132478</v>
      </c>
      <c r="J56" s="4">
        <f t="shared" si="6"/>
        <v>58.494160083385296</v>
      </c>
      <c r="K56" s="4">
        <f t="shared" si="7"/>
        <v>69.559526966520536</v>
      </c>
    </row>
    <row r="57" spans="1:11">
      <c r="A57" s="5">
        <f>INPUT_ABBANK!A57</f>
        <v>45838</v>
      </c>
      <c r="B57" s="4">
        <f>INPUT_ABBANK!C57</f>
        <v>8.1548508817445171</v>
      </c>
      <c r="C57" s="4">
        <f>INPUT_ABBANK!E57</f>
        <v>10.747796109300094</v>
      </c>
      <c r="D57" s="4">
        <f>INPUT_ABBANK!F57</f>
        <v>12.335465115552198</v>
      </c>
      <c r="E57" s="4">
        <f>INPUT_ABBANK!G57</f>
        <v>3.290086688420474</v>
      </c>
      <c r="F57" s="4">
        <f>INPUT_ABBANK!J57</f>
        <v>92.612452950344419</v>
      </c>
      <c r="G57" s="4">
        <f>INPUT_ABBANK!K57</f>
        <v>2.11731907327703</v>
      </c>
      <c r="H57" s="4">
        <f t="shared" si="4"/>
        <v>74.464552645233553</v>
      </c>
      <c r="I57" s="4">
        <f t="shared" si="5"/>
        <v>74.498106264518938</v>
      </c>
      <c r="J57" s="4">
        <f t="shared" si="6"/>
        <v>57.653618534459397</v>
      </c>
      <c r="K57" s="4">
        <f t="shared" si="7"/>
        <v>69.434693859715452</v>
      </c>
    </row>
    <row r="58" spans="1:11">
      <c r="A58" s="5">
        <f>INPUT_ABBANK!A58</f>
        <v>45869</v>
      </c>
      <c r="B58" s="4">
        <f>INPUT_ABBANK!C58</f>
        <v>8.3852859039623624</v>
      </c>
      <c r="C58" s="4">
        <f>INPUT_ABBANK!E58</f>
        <v>10.789197558222353</v>
      </c>
      <c r="D58" s="4">
        <f>INPUT_ABBANK!F58</f>
        <v>12.454471024888026</v>
      </c>
      <c r="E58" s="4">
        <f>INPUT_ABBANK!G58</f>
        <v>3.2975645956864086</v>
      </c>
      <c r="F58" s="4">
        <f>INPUT_ABBANK!J58</f>
        <v>92.756121543826538</v>
      </c>
      <c r="G58" s="4">
        <f>INPUT_ABBANK!K58</f>
        <v>2.1575154258232163</v>
      </c>
      <c r="H58" s="4">
        <f t="shared" si="4"/>
        <v>75.15585771188708</v>
      </c>
      <c r="I58" s="4">
        <f t="shared" si="5"/>
        <v>74.186106393408409</v>
      </c>
      <c r="J58" s="4">
        <f t="shared" si="6"/>
        <v>56.849691483535672</v>
      </c>
      <c r="K58" s="4">
        <f t="shared" si="7"/>
        <v>69.276107315990174</v>
      </c>
    </row>
    <row r="59" spans="1:11">
      <c r="A59" s="5">
        <f>INPUT_ABBANK!A59</f>
        <v>45900</v>
      </c>
      <c r="B59" s="4">
        <f>INPUT_ABBANK!C59</f>
        <v>8.6233021846286864</v>
      </c>
      <c r="C59" s="4">
        <f>INPUT_ABBANK!E59</f>
        <v>10.799558244552898</v>
      </c>
      <c r="D59" s="4">
        <f>INPUT_ABBANK!F59</f>
        <v>12.588919348859216</v>
      </c>
      <c r="E59" s="4">
        <f>INPUT_ABBANK!G59</f>
        <v>3.2999987508345501</v>
      </c>
      <c r="F59" s="4">
        <f>INPUT_ABBANK!J59</f>
        <v>92.949117185608713</v>
      </c>
      <c r="G59" s="4">
        <f>INPUT_ABBANK!K59</f>
        <v>2.1952538028318291</v>
      </c>
      <c r="H59" s="4">
        <f t="shared" si="4"/>
        <v>75.869906553886068</v>
      </c>
      <c r="I59" s="4">
        <f t="shared" si="5"/>
        <v>73.741567792033081</v>
      </c>
      <c r="J59" s="4">
        <f t="shared" si="6"/>
        <v>56.094923943363419</v>
      </c>
      <c r="K59" s="4">
        <f t="shared" si="7"/>
        <v>69.086076265988083</v>
      </c>
    </row>
    <row r="60" spans="1:11">
      <c r="A60" s="5">
        <f>INPUT_ABBANK!A60</f>
        <v>45930</v>
      </c>
      <c r="B60" s="4">
        <f>INPUT_ABBANK!C60</f>
        <v>8.8659642730188217</v>
      </c>
      <c r="C60" s="4">
        <f>INPUT_ABBANK!E60</f>
        <v>10.778716493246764</v>
      </c>
      <c r="D60" s="4">
        <f>INPUT_ABBANK!F60</f>
        <v>12.737466724255357</v>
      </c>
      <c r="E60" s="4">
        <f>INPUT_ABBANK!G60</f>
        <v>3.2973395616558454</v>
      </c>
      <c r="F60" s="4">
        <f>INPUT_ABBANK!J60</f>
        <v>93.18825316367311</v>
      </c>
      <c r="G60" s="4">
        <f>INPUT_ABBANK!K60</f>
        <v>2.2299453095515762</v>
      </c>
      <c r="H60" s="4">
        <f t="shared" si="4"/>
        <v>76.597892819056469</v>
      </c>
      <c r="I60" s="4">
        <f t="shared" si="5"/>
        <v>73.172707233236025</v>
      </c>
      <c r="J60" s="4">
        <f t="shared" si="6"/>
        <v>55.401093808968476</v>
      </c>
      <c r="K60" s="4">
        <f t="shared" si="7"/>
        <v>68.868778881701886</v>
      </c>
    </row>
    <row r="61" spans="1:11">
      <c r="A61" s="5">
        <f>INPUT_ABBANK!A61</f>
        <v>45961</v>
      </c>
      <c r="B61" s="4">
        <f>INPUT_ABBANK!C61</f>
        <v>9.1102794217407794</v>
      </c>
      <c r="C61" s="4">
        <f>INPUT_ABBANK!E61</f>
        <v>10.726997532862377</v>
      </c>
      <c r="D61" s="4">
        <f>INPUT_ABBANK!F61</f>
        <v>12.898628914804725</v>
      </c>
      <c r="E61" s="4">
        <f>INPUT_ABBANK!G61</f>
        <v>3.2896412050854673</v>
      </c>
      <c r="F61" s="4">
        <f>INPUT_ABBANK!J61</f>
        <v>93.468551458615536</v>
      </c>
      <c r="G61" s="4">
        <f>INPUT_ABBANK!K61</f>
        <v>2.2610485966229708</v>
      </c>
      <c r="H61" s="4">
        <f t="shared" si="4"/>
        <v>77.33083826522234</v>
      </c>
      <c r="I61" s="4">
        <f t="shared" si="5"/>
        <v>72.492974538958123</v>
      </c>
      <c r="J61" s="4">
        <f t="shared" si="6"/>
        <v>54.779028067540587</v>
      </c>
      <c r="K61" s="4">
        <f t="shared" si="7"/>
        <v>68.630149715412131</v>
      </c>
    </row>
    <row r="62" spans="1:11">
      <c r="A62" s="5">
        <f>INPUT_ABBANK!A62</f>
        <v>45991</v>
      </c>
      <c r="B62" s="4">
        <f>INPUT_ABBANK!C62</f>
        <v>9.3532344962377394</v>
      </c>
      <c r="C62" s="4">
        <f>INPUT_ABBANK!E62</f>
        <v>10.645208420478681</v>
      </c>
      <c r="D62" s="4">
        <f>INPUT_ABBANK!F62</f>
        <v>13.070795641172484</v>
      </c>
      <c r="E62" s="4">
        <f>INPUT_ABBANK!G62</f>
        <v>3.2770605234301597</v>
      </c>
      <c r="F62" s="4">
        <f>INPUT_ABBANK!J62</f>
        <v>93.783392881314555</v>
      </c>
      <c r="G62" s="4">
        <f>INPUT_ABBANK!K62</f>
        <v>2.2880783076540268</v>
      </c>
      <c r="H62" s="4">
        <f t="shared" si="4"/>
        <v>78.059703488713211</v>
      </c>
      <c r="I62" s="4">
        <f t="shared" si="5"/>
        <v>71.720616997228817</v>
      </c>
      <c r="J62" s="4">
        <f t="shared" si="6"/>
        <v>54.238433846919463</v>
      </c>
      <c r="K62" s="4">
        <f t="shared" si="7"/>
        <v>68.377687999581326</v>
      </c>
    </row>
    <row r="63" spans="1:11">
      <c r="A63" s="5">
        <f>INPUT_ABBANK!A63</f>
        <v>46022</v>
      </c>
      <c r="B63" s="4">
        <f>INPUT_ABBANK!C63</f>
        <v>9.5918331357250608</v>
      </c>
      <c r="C63" s="4">
        <f>INPUT_ABBANK!E63</f>
        <v>10.534625447839348</v>
      </c>
      <c r="D63" s="4">
        <f>INPUT_ABBANK!F63</f>
        <v>13.252246670339527</v>
      </c>
      <c r="E63" s="4">
        <f>INPUT_ABBANK!G63</f>
        <v>3.2598538289447756</v>
      </c>
      <c r="F63" s="4">
        <f>INPUT_ABBANK!J63</f>
        <v>94.124735039685831</v>
      </c>
      <c r="G63" s="4">
        <f>INPUT_ABBANK!K63</f>
        <v>2.3106126530444264</v>
      </c>
      <c r="H63" s="4">
        <f t="shared" si="4"/>
        <v>78.775499407175175</v>
      </c>
      <c r="I63" s="4">
        <f t="shared" si="5"/>
        <v>70.878041551282038</v>
      </c>
      <c r="J63" s="4">
        <f t="shared" si="6"/>
        <v>53.787746939111472</v>
      </c>
      <c r="K63" s="4">
        <f t="shared" si="7"/>
        <v>68.120190524398808</v>
      </c>
    </row>
    <row r="64" spans="1:11">
      <c r="A64" s="5">
        <f>INPUT_ABBANK!A64</f>
        <v>46053</v>
      </c>
      <c r="B64" s="4">
        <f>INPUT_ABBANK!C64</f>
        <v>9.8231327072566845</v>
      </c>
      <c r="C64" s="4">
        <f>INPUT_ABBANK!E64</f>
        <v>10.396974225246982</v>
      </c>
      <c r="D64" s="4">
        <f>INPUT_ABBANK!F64</f>
        <v>13.441169003602148</v>
      </c>
      <c r="E64" s="4">
        <f>INPUT_ABBANK!G64</f>
        <v>3.2383716818599093</v>
      </c>
      <c r="F64" s="4">
        <f>INPUT_ABBANK!J64</f>
        <v>94.483392364569468</v>
      </c>
      <c r="G64" s="4">
        <f>INPUT_ABBANK!K64</f>
        <v>2.3282999918711584</v>
      </c>
      <c r="H64" s="4">
        <f t="shared" si="4"/>
        <v>79.469398121770055</v>
      </c>
      <c r="I64" s="4">
        <f t="shared" si="5"/>
        <v>69.990991909893751</v>
      </c>
      <c r="J64" s="4">
        <f t="shared" si="6"/>
        <v>53.434000162576829</v>
      </c>
      <c r="K64" s="4">
        <f t="shared" si="7"/>
        <v>67.867416249261566</v>
      </c>
    </row>
    <row r="65" spans="1:11">
      <c r="A65" s="5">
        <f>INPUT_ABBANK!A65</f>
        <v>46081</v>
      </c>
      <c r="B65" s="4">
        <f>INPUT_ABBANK!C65</f>
        <v>10.044280597166992</v>
      </c>
      <c r="C65" s="4">
        <f>INPUT_ABBANK!E65</f>
        <v>10.234402753991493</v>
      </c>
      <c r="D65" s="4">
        <f>INPUT_ABBANK!F65</f>
        <v>13.635674991455808</v>
      </c>
      <c r="E65" s="4">
        <f>INPUT_ABBANK!G65</f>
        <v>3.2130517482503631</v>
      </c>
      <c r="F65" s="4">
        <f>INPUT_ABBANK!J65</f>
        <v>94.849369142120139</v>
      </c>
      <c r="G65" s="4">
        <f>INPUT_ABBANK!K65</f>
        <v>2.3408643191275162</v>
      </c>
      <c r="H65" s="4">
        <f t="shared" si="4"/>
        <v>80.132841791500979</v>
      </c>
      <c r="I65" s="4">
        <f t="shared" si="5"/>
        <v>69.087567565095384</v>
      </c>
      <c r="J65" s="4">
        <f t="shared" si="6"/>
        <v>53.182713617449679</v>
      </c>
      <c r="K65" s="4">
        <f t="shared" si="7"/>
        <v>67.629693648723347</v>
      </c>
    </row>
    <row r="66" spans="1:11">
      <c r="A66" s="5">
        <f>INPUT_ABBANK!A66</f>
        <v>46112</v>
      </c>
      <c r="B66" s="4">
        <f>INPUT_ABBANK!C66</f>
        <v>10.252549392306438</v>
      </c>
      <c r="C66" s="4">
        <f>INPUT_ABBANK!E66</f>
        <v>10.049447907508386</v>
      </c>
      <c r="D66" s="4">
        <f>INPUT_ABBANK!F66</f>
        <v>13.833821194365008</v>
      </c>
      <c r="E66" s="4">
        <f>INPUT_ABBANK!G66</f>
        <v>3.1844098832545153</v>
      </c>
      <c r="F66" s="4">
        <f>INPUT_ABBANK!J66</f>
        <v>95.212233360733052</v>
      </c>
      <c r="G66" s="4">
        <f>INPUT_ABBANK!K66</f>
        <v>2.3481095726889114</v>
      </c>
      <c r="H66" s="4">
        <f t="shared" si="4"/>
        <v>80.757648176919318</v>
      </c>
      <c r="I66" s="4">
        <f t="shared" si="5"/>
        <v>68.19712111216586</v>
      </c>
      <c r="J66" s="4">
        <f t="shared" si="6"/>
        <v>53.037808546221768</v>
      </c>
      <c r="K66" s="4">
        <f t="shared" si="7"/>
        <v>67.417485461808667</v>
      </c>
    </row>
    <row r="67" spans="1:11">
      <c r="A67" s="5">
        <f>INPUT_ABBANK!A67</f>
        <v>46142</v>
      </c>
      <c r="B67" s="4">
        <f>INPUT_ABBANK!C67</f>
        <v>10.445370517181336</v>
      </c>
      <c r="C67" s="4">
        <f>INPUT_ABBANK!E67</f>
        <v>9.8449958443172818</v>
      </c>
      <c r="D67" s="4">
        <f>INPUT_ABBANK!F67</f>
        <v>14.033627800968699</v>
      </c>
      <c r="E67" s="4">
        <f>INPUT_ABBANK!G67</f>
        <v>3.1530296213104392</v>
      </c>
      <c r="F67" s="4">
        <f>INPUT_ABBANK!J67</f>
        <v>95.561516447502854</v>
      </c>
      <c r="G67" s="4">
        <f>INPUT_ABBANK!K67</f>
        <v>2.3499226927967571</v>
      </c>
      <c r="H67" s="4">
        <f t="shared" si="4"/>
        <v>81.336111551544008</v>
      </c>
      <c r="I67" s="4">
        <f t="shared" si="5"/>
        <v>67.349078458460141</v>
      </c>
      <c r="J67" s="4">
        <f t="shared" si="6"/>
        <v>53.001546144064861</v>
      </c>
      <c r="K67" s="4">
        <f t="shared" si="7"/>
        <v>67.240928692066717</v>
      </c>
    </row>
  </sheetData>
  <mergeCells count="1">
    <mergeCell ref="A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7"/>
  <sheetViews>
    <sheetView workbookViewId="0">
      <selection activeCell="F15" sqref="F15"/>
    </sheetView>
  </sheetViews>
  <sheetFormatPr defaultRowHeight="14.25"/>
  <cols>
    <col min="1" max="1" width="13.75" customWidth="1"/>
    <col min="2" max="2" width="14.5" customWidth="1"/>
    <col min="3" max="3" width="11.875" customWidth="1"/>
    <col min="4" max="4" width="9.625" customWidth="1"/>
    <col min="5" max="5" width="19.25" customWidth="1"/>
    <col min="6" max="6" width="18.25" customWidth="1"/>
    <col min="7" max="7" width="23.5" customWidth="1"/>
    <col min="8" max="8" width="24.25" customWidth="1"/>
    <col min="9" max="9" width="18.375" customWidth="1"/>
    <col min="10" max="10" width="11.625" customWidth="1"/>
  </cols>
  <sheetData>
    <row r="1" spans="1:10" ht="27.95" customHeight="1">
      <c r="A1" s="10" t="s">
        <v>149</v>
      </c>
      <c r="B1" s="10" t="s">
        <v>149</v>
      </c>
      <c r="C1" s="10" t="s">
        <v>149</v>
      </c>
      <c r="D1" s="10" t="s">
        <v>149</v>
      </c>
      <c r="E1" s="10" t="s">
        <v>149</v>
      </c>
      <c r="F1" s="10" t="s">
        <v>149</v>
      </c>
      <c r="G1" s="10" t="s">
        <v>149</v>
      </c>
      <c r="H1" s="10" t="s">
        <v>149</v>
      </c>
      <c r="I1" s="10" t="s">
        <v>149</v>
      </c>
      <c r="J1" s="10" t="s">
        <v>149</v>
      </c>
    </row>
    <row r="3" spans="1:10" ht="25.5">
      <c r="A3" s="3" t="s">
        <v>75</v>
      </c>
      <c r="B3" s="3" t="s">
        <v>17</v>
      </c>
      <c r="C3" s="3" t="s">
        <v>118</v>
      </c>
      <c r="D3" s="3" t="s">
        <v>119</v>
      </c>
      <c r="E3" s="3" t="s">
        <v>150</v>
      </c>
      <c r="F3" s="3" t="s">
        <v>151</v>
      </c>
      <c r="G3" s="3" t="s">
        <v>152</v>
      </c>
      <c r="H3" s="3" t="s">
        <v>153</v>
      </c>
      <c r="I3" s="3" t="s">
        <v>154</v>
      </c>
      <c r="J3" s="3" t="s">
        <v>155</v>
      </c>
    </row>
    <row r="4" spans="1:10">
      <c r="A4" s="5">
        <f>INPUT_TREASURY!A4</f>
        <v>44227</v>
      </c>
      <c r="B4" s="7">
        <f>INPUT_TREASURY!B4</f>
        <v>50000</v>
      </c>
      <c r="C4" s="7">
        <f>INPUT_TREASURY!C4</f>
        <v>2.1</v>
      </c>
      <c r="D4" s="7">
        <f>INPUT_TREASURY!D4</f>
        <v>4.7</v>
      </c>
      <c r="E4" s="7">
        <f t="shared" ref="E4:E35" si="0">D4*100</f>
        <v>470</v>
      </c>
      <c r="F4" s="7">
        <f t="shared" ref="F4:F35" si="1">D4*200</f>
        <v>940</v>
      </c>
      <c r="G4" s="7">
        <f>E4/CONFIG!B4*100</f>
        <v>0.94000000000000006</v>
      </c>
      <c r="H4" s="7">
        <f>F4/CONFIG!B4*100</f>
        <v>1.8800000000000001</v>
      </c>
      <c r="I4" s="7">
        <f t="shared" ref="I4:I35" si="2">MAX(0,100-H4*10-C4*8)</f>
        <v>64.400000000000006</v>
      </c>
      <c r="J4" t="str">
        <f>IF(H4&gt;=CONFIG!B15,"Đỏ",IF(H4&gt;=CONFIG!B14,"Vàng","Xanh"))</f>
        <v>Xanh</v>
      </c>
    </row>
    <row r="5" spans="1:10">
      <c r="A5" s="5">
        <f>INPUT_TREASURY!A5</f>
        <v>44255</v>
      </c>
      <c r="B5" s="7">
        <f>INPUT_TREASURY!B5</f>
        <v>50000</v>
      </c>
      <c r="C5" s="7">
        <f>INPUT_TREASURY!C5</f>
        <v>2.1436361566848299</v>
      </c>
      <c r="D5" s="7">
        <f>INPUT_TREASURY!D5</f>
        <v>4.7798667333174629</v>
      </c>
      <c r="E5" s="7">
        <f t="shared" si="0"/>
        <v>477.98667333174632</v>
      </c>
      <c r="F5" s="7">
        <f t="shared" si="1"/>
        <v>955.97334666349263</v>
      </c>
      <c r="G5" s="7">
        <f>E5/CONFIG!B4*100</f>
        <v>0.95597334666349254</v>
      </c>
      <c r="H5" s="7">
        <f>F5/CONFIG!B4*100</f>
        <v>1.9119466933269851</v>
      </c>
      <c r="I5" s="7">
        <f t="shared" si="2"/>
        <v>63.731443813251516</v>
      </c>
      <c r="J5" t="str">
        <f>IF(H5&gt;=CONFIG!B15,"Đỏ",IF(H5&gt;=CONFIG!B14,"Vàng","Xanh"))</f>
        <v>Xanh</v>
      </c>
    </row>
    <row r="6" spans="1:10">
      <c r="A6" s="5">
        <f>INPUT_TREASURY!A6</f>
        <v>44286</v>
      </c>
      <c r="B6" s="7">
        <f>INPUT_TREASURY!B6</f>
        <v>50000</v>
      </c>
      <c r="C6" s="7">
        <f>INPUT_TREASURY!C6</f>
        <v>2.1865913857390833</v>
      </c>
      <c r="D6" s="7">
        <f>INPUT_TREASURY!D6</f>
        <v>4.8589354646360494</v>
      </c>
      <c r="E6" s="7">
        <f t="shared" si="0"/>
        <v>485.89354646360493</v>
      </c>
      <c r="F6" s="7">
        <f t="shared" si="1"/>
        <v>971.78709292720987</v>
      </c>
      <c r="G6" s="7">
        <f>E6/CONFIG!B4*100</f>
        <v>0.97178709292720988</v>
      </c>
      <c r="H6" s="7">
        <f>F6/CONFIG!B4*100</f>
        <v>1.9435741858544198</v>
      </c>
      <c r="I6" s="7">
        <f t="shared" si="2"/>
        <v>63.071527055543143</v>
      </c>
      <c r="J6" t="str">
        <f>IF(H6&gt;=CONFIG!B15,"Đỏ",IF(H6&gt;=CONFIG!B14,"Vàng","Xanh"))</f>
        <v>Xanh</v>
      </c>
    </row>
    <row r="7" spans="1:10">
      <c r="A7" s="5">
        <f>INPUT_TREASURY!A7</f>
        <v>44316</v>
      </c>
      <c r="B7" s="7">
        <f>INPUT_TREASURY!B7</f>
        <v>50000</v>
      </c>
      <c r="C7" s="7">
        <f>INPUT_TREASURY!C7</f>
        <v>2.2281953851801166</v>
      </c>
      <c r="D7" s="7">
        <f>INPUT_TREASURY!D7</f>
        <v>4.9364161653290717</v>
      </c>
      <c r="E7" s="7">
        <f t="shared" si="0"/>
        <v>493.64161653290716</v>
      </c>
      <c r="F7" s="7">
        <f t="shared" si="1"/>
        <v>987.28323306581433</v>
      </c>
      <c r="G7" s="7">
        <f>E7/CONFIG!B4*100</f>
        <v>0.98728323306581434</v>
      </c>
      <c r="H7" s="7">
        <f>F7/CONFIG!B4*100</f>
        <v>1.9745664661316287</v>
      </c>
      <c r="I7" s="7">
        <f t="shared" si="2"/>
        <v>62.428772257242784</v>
      </c>
      <c r="J7" t="str">
        <f>IF(H7&gt;=CONFIG!B15,"Đỏ",IF(H7&gt;=CONFIG!B14,"Vàng","Xanh"))</f>
        <v>Xanh</v>
      </c>
    </row>
    <row r="8" spans="1:10">
      <c r="A8" s="5">
        <f>INPUT_TREASURY!A8</f>
        <v>44347</v>
      </c>
      <c r="B8" s="7">
        <f>INPUT_TREASURY!B8</f>
        <v>50000</v>
      </c>
      <c r="C8" s="7">
        <f>INPUT_TREASURY!C8</f>
        <v>2.2677989385114712</v>
      </c>
      <c r="D8" s="7">
        <f>INPUT_TREASURY!D8</f>
        <v>5.0115346738469206</v>
      </c>
      <c r="E8" s="7">
        <f t="shared" si="0"/>
        <v>501.15346738469208</v>
      </c>
      <c r="F8" s="7">
        <f t="shared" si="1"/>
        <v>1002.3069347693842</v>
      </c>
      <c r="G8" s="7">
        <f>E8/CONFIG!B4*100</f>
        <v>1.002306934769384</v>
      </c>
      <c r="H8" s="7">
        <f>F8/CONFIG!B4*100</f>
        <v>2.0046138695387681</v>
      </c>
      <c r="I8" s="7">
        <f t="shared" si="2"/>
        <v>61.811469796520548</v>
      </c>
      <c r="J8" t="str">
        <f>IF(H8&gt;=CONFIG!B15,"Đỏ",IF(H8&gt;=CONFIG!B14,"Vàng","Xanh"))</f>
        <v>Xanh</v>
      </c>
    </row>
    <row r="9" spans="1:10">
      <c r="A9" s="5">
        <f>INPUT_TREASURY!A9</f>
        <v>44377</v>
      </c>
      <c r="B9" s="7">
        <f>INPUT_TREASURY!B9</f>
        <v>50000</v>
      </c>
      <c r="C9" s="7">
        <f>INPUT_TREASURY!C9</f>
        <v>2.3047840455291619</v>
      </c>
      <c r="D9" s="7">
        <f>INPUT_TREASURY!D9</f>
        <v>5.0835404308833629</v>
      </c>
      <c r="E9" s="7">
        <f t="shared" si="0"/>
        <v>508.35404308833631</v>
      </c>
      <c r="F9" s="7">
        <f t="shared" si="1"/>
        <v>1016.7080861766726</v>
      </c>
      <c r="G9" s="7">
        <f>E9/CONFIG!B4*100</f>
        <v>1.0167080861766726</v>
      </c>
      <c r="H9" s="7">
        <f>F9/CONFIG!B4*100</f>
        <v>2.0334161723533453</v>
      </c>
      <c r="I9" s="7">
        <f t="shared" si="2"/>
        <v>61.227565912233246</v>
      </c>
      <c r="J9" t="str">
        <f>IF(H9&gt;=CONFIG!B15,"Đỏ",IF(H9&gt;=CONFIG!B14,"Vàng","Xanh"))</f>
        <v>Xanh</v>
      </c>
    </row>
    <row r="10" spans="1:10">
      <c r="A10" s="5">
        <f>INPUT_TREASURY!A10</f>
        <v>44408</v>
      </c>
      <c r="B10" s="7">
        <f>INPUT_TREASURY!B10</f>
        <v>50000</v>
      </c>
      <c r="C10" s="7">
        <f>INPUT_TREASURY!C10</f>
        <v>2.3385735660081668</v>
      </c>
      <c r="D10" s="7">
        <f>INPUT_TREASURY!D10</f>
        <v>5.1517139787160282</v>
      </c>
      <c r="E10" s="7">
        <f t="shared" si="0"/>
        <v>515.17139787160284</v>
      </c>
      <c r="F10" s="7">
        <f t="shared" si="1"/>
        <v>1030.3427957432057</v>
      </c>
      <c r="G10" s="7">
        <f>E10/CONFIG!B4*100</f>
        <v>1.0303427957432056</v>
      </c>
      <c r="H10" s="7">
        <f>F10/CONFIG!B4*100</f>
        <v>2.0606855914864113</v>
      </c>
      <c r="I10" s="7">
        <f t="shared" si="2"/>
        <v>60.684555557070553</v>
      </c>
      <c r="J10" t="str">
        <f>IF(H10&gt;=CONFIG!B15,"Đỏ",IF(H10&gt;=CONFIG!B14,"Vàng","Xanh"))</f>
        <v>Xanh</v>
      </c>
    </row>
    <row r="11" spans="1:10">
      <c r="A11" s="5">
        <f>INPUT_TREASURY!A11</f>
        <v>44439</v>
      </c>
      <c r="B11" s="7">
        <f>INPUT_TREASURY!B11</f>
        <v>50000</v>
      </c>
      <c r="C11" s="7">
        <f>INPUT_TREASURY!C11</f>
        <v>2.3686402257826096</v>
      </c>
      <c r="D11" s="7">
        <f>INPUT_TREASURY!D11</f>
        <v>5.2153741497901533</v>
      </c>
      <c r="E11" s="7">
        <f t="shared" si="0"/>
        <v>521.53741497901535</v>
      </c>
      <c r="F11" s="7">
        <f t="shared" si="1"/>
        <v>1043.0748299580307</v>
      </c>
      <c r="G11" s="7">
        <f>E11/CONFIG!B4*100</f>
        <v>1.0430748299580306</v>
      </c>
      <c r="H11" s="7">
        <f>F11/CONFIG!B4*100</f>
        <v>2.0861496599160612</v>
      </c>
      <c r="I11" s="7">
        <f t="shared" si="2"/>
        <v>60.189381594578521</v>
      </c>
      <c r="J11" t="str">
        <f>IF(H11&gt;=CONFIG!B15,"Đỏ",IF(H11&gt;=CONFIG!B14,"Vàng","Xanh"))</f>
        <v>Xanh</v>
      </c>
    </row>
    <row r="12" spans="1:10">
      <c r="A12" s="5">
        <f>INPUT_TREASURY!A12</f>
        <v>44469</v>
      </c>
      <c r="B12" s="7">
        <f>INPUT_TREASURY!B12</f>
        <v>50000</v>
      </c>
      <c r="C12" s="7">
        <f>INPUT_TREASURY!C12</f>
        <v>2.3945148446827638</v>
      </c>
      <c r="D12" s="7">
        <f>INPUT_TREASURY!D12</f>
        <v>5.2738848727196181</v>
      </c>
      <c r="E12" s="7">
        <f t="shared" si="0"/>
        <v>527.38848727196182</v>
      </c>
      <c r="F12" s="7">
        <f t="shared" si="1"/>
        <v>1054.7769745439236</v>
      </c>
      <c r="G12" s="7">
        <f>E12/CONFIG!B4*100</f>
        <v>1.0547769745439237</v>
      </c>
      <c r="H12" s="7">
        <f>F12/CONFIG!B4*100</f>
        <v>2.1095539490878474</v>
      </c>
      <c r="I12" s="7">
        <f t="shared" si="2"/>
        <v>59.74834175165941</v>
      </c>
      <c r="J12" t="str">
        <f>IF(H12&gt;=CONFIG!B15,"Đỏ",IF(H12&gt;=CONFIG!B14,"Vàng","Xanh"))</f>
        <v>Xanh</v>
      </c>
    </row>
    <row r="13" spans="1:10">
      <c r="A13" s="5">
        <f>INPUT_TREASURY!A13</f>
        <v>44500</v>
      </c>
      <c r="B13" s="7">
        <f>INPUT_TREASURY!B13</f>
        <v>50000</v>
      </c>
      <c r="C13" s="7">
        <f>INPUT_TREASURY!C13</f>
        <v>2.4157936579346835</v>
      </c>
      <c r="D13" s="7">
        <f>INPUT_TREASURY!D13</f>
        <v>5.3266615277019866</v>
      </c>
      <c r="E13" s="7">
        <f t="shared" si="0"/>
        <v>532.66615277019866</v>
      </c>
      <c r="F13" s="7">
        <f t="shared" si="1"/>
        <v>1065.3323055403973</v>
      </c>
      <c r="G13" s="7">
        <f>E13/CONFIG!B4*100</f>
        <v>1.0653323055403974</v>
      </c>
      <c r="H13" s="7">
        <f>F13/CONFIG!B4*100</f>
        <v>2.1306646110807947</v>
      </c>
      <c r="I13" s="7">
        <f t="shared" si="2"/>
        <v>59.367004625714586</v>
      </c>
      <c r="J13" t="str">
        <f>IF(H13&gt;=CONFIG!B15,"Đỏ",IF(H13&gt;=CONFIG!B14,"Vàng","Xanh"))</f>
        <v>Xanh</v>
      </c>
    </row>
    <row r="14" spans="1:10">
      <c r="A14" s="5">
        <f>INPUT_TREASURY!A14</f>
        <v>44530</v>
      </c>
      <c r="B14" s="7">
        <f>INPUT_TREASURY!B14</f>
        <v>50000</v>
      </c>
      <c r="C14" s="7">
        <f>INPUT_TREASURY!C14</f>
        <v>2.4321446167744551</v>
      </c>
      <c r="D14" s="7">
        <f>INPUT_TREASURY!D14</f>
        <v>5.373176787846317</v>
      </c>
      <c r="E14" s="7">
        <f t="shared" si="0"/>
        <v>537.31767878463165</v>
      </c>
      <c r="F14" s="7">
        <f t="shared" si="1"/>
        <v>1074.6353575692633</v>
      </c>
      <c r="G14" s="7">
        <f>E14/CONFIG!B4*100</f>
        <v>1.0746353575692633</v>
      </c>
      <c r="H14" s="7">
        <f>F14/CONFIG!B4*100</f>
        <v>2.1492707151385266</v>
      </c>
      <c r="I14" s="7">
        <f t="shared" si="2"/>
        <v>59.050135914419087</v>
      </c>
      <c r="J14" t="str">
        <f>IF(H14&gt;=CONFIG!B15,"Đỏ",IF(H14&gt;=CONFIG!B14,"Vàng","Xanh"))</f>
        <v>Xanh</v>
      </c>
    </row>
    <row r="15" spans="1:10">
      <c r="A15" s="5">
        <f>INPUT_TREASURY!A15</f>
        <v>44561</v>
      </c>
      <c r="B15" s="7">
        <f>INPUT_TREASURY!B15</f>
        <v>50000</v>
      </c>
      <c r="C15" s="7">
        <f>INPUT_TREASURY!C15</f>
        <v>2.4433125699581044</v>
      </c>
      <c r="D15" s="7">
        <f>INPUT_TREASURY!D15</f>
        <v>5.4129658880491487</v>
      </c>
      <c r="E15" s="7">
        <f t="shared" si="0"/>
        <v>541.2965888049149</v>
      </c>
      <c r="F15" s="7">
        <f t="shared" si="1"/>
        <v>1082.5931776098298</v>
      </c>
      <c r="G15" s="7">
        <f>E15/CONFIG!B4*100</f>
        <v>1.0825931776098299</v>
      </c>
      <c r="H15" s="7">
        <f>F15/CONFIG!B4*100</f>
        <v>2.1651863552196597</v>
      </c>
      <c r="I15" s="7">
        <f t="shared" si="2"/>
        <v>58.801635888138563</v>
      </c>
      <c r="J15" t="str">
        <f>IF(H15&gt;=CONFIG!B15,"Đỏ",IF(H15&gt;=CONFIG!B14,"Vàng","Xanh"))</f>
        <v>Xanh</v>
      </c>
    </row>
    <row r="16" spans="1:10">
      <c r="A16" s="5">
        <f>INPUT_TREASURY!A16</f>
        <v>44592</v>
      </c>
      <c r="B16" s="7">
        <f>INPUT_TREASURY!B16</f>
        <v>50000</v>
      </c>
      <c r="C16" s="7">
        <f>INPUT_TREASURY!C16</f>
        <v>2.4491232453114193</v>
      </c>
      <c r="D16" s="7">
        <f>INPUT_TREASURY!D16</f>
        <v>5.4456312687737816</v>
      </c>
      <c r="E16" s="7">
        <f t="shared" si="0"/>
        <v>544.56312687737818</v>
      </c>
      <c r="F16" s="7">
        <f t="shared" si="1"/>
        <v>1089.1262537547564</v>
      </c>
      <c r="G16" s="7">
        <f>E16/CONFIG!B4*100</f>
        <v>1.0891262537547564</v>
      </c>
      <c r="H16" s="7">
        <f>F16/CONFIG!B4*100</f>
        <v>2.1782525075095127</v>
      </c>
      <c r="I16" s="7">
        <f t="shared" si="2"/>
        <v>58.624488962413523</v>
      </c>
      <c r="J16" t="str">
        <f>IF(H16&gt;=CONFIG!B15,"Đỏ",IF(H16&gt;=CONFIG!B14,"Vàng","Xanh"))</f>
        <v>Xanh</v>
      </c>
    </row>
    <row r="17" spans="1:10">
      <c r="A17" s="5">
        <f>INPUT_TREASURY!A17</f>
        <v>44620</v>
      </c>
      <c r="B17" s="7">
        <f>INPUT_TREASURY!B17</f>
        <v>50000</v>
      </c>
      <c r="C17" s="7">
        <f>INPUT_TREASURY!C17</f>
        <v>2.4494859691889412</v>
      </c>
      <c r="D17" s="7">
        <f>INPUT_TREASURY!D17</f>
        <v>5.4708465483337543</v>
      </c>
      <c r="E17" s="7">
        <f t="shared" si="0"/>
        <v>547.08465483337545</v>
      </c>
      <c r="F17" s="7">
        <f t="shared" si="1"/>
        <v>1094.1693096667509</v>
      </c>
      <c r="G17" s="7">
        <f>E17/CONFIG!B4*100</f>
        <v>1.0941693096667509</v>
      </c>
      <c r="H17" s="7">
        <f>F17/CONFIG!B4*100</f>
        <v>2.1883386193335017</v>
      </c>
      <c r="I17" s="7">
        <f t="shared" si="2"/>
        <v>58.520726053153453</v>
      </c>
      <c r="J17" t="str">
        <f>IF(H17&gt;=CONFIG!B15,"Đỏ",IF(H17&gt;=CONFIG!B14,"Vàng","Xanh"))</f>
        <v>Xanh</v>
      </c>
    </row>
    <row r="18" spans="1:10">
      <c r="A18" s="5">
        <f>INPUT_TREASURY!A18</f>
        <v>44651</v>
      </c>
      <c r="B18" s="7">
        <f>INPUT_TREASURY!B18</f>
        <v>50000</v>
      </c>
      <c r="C18" s="7">
        <f>INPUT_TREASURY!C18</f>
        <v>2.4443950814058781</v>
      </c>
      <c r="D18" s="7">
        <f>INPUT_TREASURY!D18</f>
        <v>5.4883597839907683</v>
      </c>
      <c r="E18" s="7">
        <f t="shared" si="0"/>
        <v>548.83597839907679</v>
      </c>
      <c r="F18" s="7">
        <f t="shared" si="1"/>
        <v>1097.6719567981536</v>
      </c>
      <c r="G18" s="7">
        <f>E18/CONFIG!B4*100</f>
        <v>1.0976719567981537</v>
      </c>
      <c r="H18" s="7">
        <f>F18/CONFIG!B4*100</f>
        <v>2.1953439135963073</v>
      </c>
      <c r="I18" s="7">
        <f t="shared" si="2"/>
        <v>58.491400212789912</v>
      </c>
      <c r="J18" t="str">
        <f>IF(H18&gt;=CONFIG!B15,"Đỏ",IF(H18&gt;=CONFIG!B14,"Vàng","Xanh"))</f>
        <v>Xanh</v>
      </c>
    </row>
    <row r="19" spans="1:10">
      <c r="A19" s="5">
        <f>INPUT_TREASURY!A19</f>
        <v>44681</v>
      </c>
      <c r="B19" s="7">
        <f>INPUT_TREASURY!B19</f>
        <v>50000</v>
      </c>
      <c r="C19" s="7">
        <f>INPUT_TREASURY!C19</f>
        <v>2.4339300235633927</v>
      </c>
      <c r="D19" s="7">
        <f>INPUT_TREASURY!D19</f>
        <v>5.4979959892832433</v>
      </c>
      <c r="E19" s="7">
        <f t="shared" si="0"/>
        <v>549.79959892832437</v>
      </c>
      <c r="F19" s="7">
        <f t="shared" si="1"/>
        <v>1099.5991978566487</v>
      </c>
      <c r="G19" s="7">
        <f>E19/CONFIG!B4*100</f>
        <v>1.0995991978566486</v>
      </c>
      <c r="H19" s="7">
        <f>F19/CONFIG!B4*100</f>
        <v>2.1991983957132972</v>
      </c>
      <c r="I19" s="7">
        <f t="shared" si="2"/>
        <v>58.536575854359882</v>
      </c>
      <c r="J19" t="str">
        <f>IF(H19&gt;=CONFIG!B15,"Đỏ",IF(H19&gt;=CONFIG!B14,"Vàng","Xanh"))</f>
        <v>Xanh</v>
      </c>
    </row>
    <row r="20" spans="1:10">
      <c r="A20" s="5">
        <f>INPUT_TREASURY!A20</f>
        <v>44712</v>
      </c>
      <c r="B20" s="7">
        <f>INPUT_TREASURY!B20</f>
        <v>50000</v>
      </c>
      <c r="C20" s="7">
        <f>INPUT_TREASURY!C20</f>
        <v>2.4182540993889887</v>
      </c>
      <c r="D20" s="7">
        <f>INPUT_TREASURY!D20</f>
        <v>5.499658882433204</v>
      </c>
      <c r="E20" s="7">
        <f t="shared" si="0"/>
        <v>549.96588824332036</v>
      </c>
      <c r="F20" s="7">
        <f t="shared" si="1"/>
        <v>1099.9317764866407</v>
      </c>
      <c r="G20" s="7">
        <f>E20/CONFIG!B4*100</f>
        <v>1.0999317764866408</v>
      </c>
      <c r="H20" s="7">
        <f>F20/CONFIG!B4*100</f>
        <v>2.1998635529732815</v>
      </c>
      <c r="I20" s="7">
        <f t="shared" si="2"/>
        <v>58.655331675155281</v>
      </c>
      <c r="J20" t="str">
        <f>IF(H20&gt;=CONFIG!B15,"Đỏ",IF(H20&gt;=CONFIG!B14,"Vàng","Xanh"))</f>
        <v>Xanh</v>
      </c>
    </row>
    <row r="21" spans="1:10">
      <c r="A21" s="5">
        <f>INPUT_TREASURY!A21</f>
        <v>44742</v>
      </c>
      <c r="B21" s="7">
        <f>INPUT_TREASURY!B21</f>
        <v>50000</v>
      </c>
      <c r="C21" s="7">
        <f>INPUT_TREASURY!C21</f>
        <v>2.3976119264364582</v>
      </c>
      <c r="D21" s="7">
        <f>INPUT_TREASURY!D21</f>
        <v>5.4933318483619749</v>
      </c>
      <c r="E21" s="7">
        <f t="shared" si="0"/>
        <v>549.33318483619746</v>
      </c>
      <c r="F21" s="7">
        <f t="shared" si="1"/>
        <v>1098.6663696723949</v>
      </c>
      <c r="G21" s="7">
        <f>E21/CONFIG!B4*100</f>
        <v>1.0986663696723951</v>
      </c>
      <c r="H21" s="7">
        <f>F21/CONFIG!B4*100</f>
        <v>2.1973327393447901</v>
      </c>
      <c r="I21" s="7">
        <f t="shared" si="2"/>
        <v>58.845777195060435</v>
      </c>
      <c r="J21" t="str">
        <f>IF(H21&gt;=CONFIG!B15,"Đỏ",IF(H21&gt;=CONFIG!B14,"Vàng","Xanh"))</f>
        <v>Xanh</v>
      </c>
    </row>
    <row r="22" spans="1:10">
      <c r="A22" s="5">
        <f>INPUT_TREASURY!A22</f>
        <v>44773</v>
      </c>
      <c r="B22" s="7">
        <f>INPUT_TREASURY!B22</f>
        <v>50000</v>
      </c>
      <c r="C22" s="7">
        <f>INPUT_TREASURY!C22</f>
        <v>2.3723256189107724</v>
      </c>
      <c r="D22" s="7">
        <f>INPUT_TREASURY!D22</f>
        <v>5.4790781047025563</v>
      </c>
      <c r="E22" s="7">
        <f t="shared" si="0"/>
        <v>547.90781047025564</v>
      </c>
      <c r="F22" s="7">
        <f t="shared" si="1"/>
        <v>1095.8156209405113</v>
      </c>
      <c r="G22" s="7">
        <f>E22/CONFIG!B4*100</f>
        <v>1.0958156209405112</v>
      </c>
      <c r="H22" s="7">
        <f>F22/CONFIG!B4*100</f>
        <v>2.1916312418810224</v>
      </c>
      <c r="I22" s="7">
        <f t="shared" si="2"/>
        <v>59.105082629903599</v>
      </c>
      <c r="J22" t="str">
        <f>IF(H22&gt;=CONFIG!B15,"Đỏ",IF(H22&gt;=CONFIG!B14,"Vàng","Xanh"))</f>
        <v>Xanh</v>
      </c>
    </row>
    <row r="23" spans="1:10">
      <c r="A23" s="5">
        <f>INPUT_TREASURY!A23</f>
        <v>44804</v>
      </c>
      <c r="B23" s="7">
        <f>INPUT_TREASURY!B23</f>
        <v>50000</v>
      </c>
      <c r="C23" s="7">
        <f>INPUT_TREASURY!C23</f>
        <v>2.3427897611836452</v>
      </c>
      <c r="D23" s="7">
        <f>INPUT_TREASURY!D23</f>
        <v>5.4570400701499313</v>
      </c>
      <c r="E23" s="7">
        <f t="shared" si="0"/>
        <v>545.70400701499318</v>
      </c>
      <c r="F23" s="7">
        <f t="shared" si="1"/>
        <v>1091.4080140299864</v>
      </c>
      <c r="G23" s="7">
        <f>E23/CONFIG!B4*100</f>
        <v>1.0914080140299864</v>
      </c>
      <c r="H23" s="7">
        <f>F23/CONFIG!B4*100</f>
        <v>2.1828160280599729</v>
      </c>
      <c r="I23" s="7">
        <f t="shared" si="2"/>
        <v>59.429521629931102</v>
      </c>
      <c r="J23" t="str">
        <f>IF(H23&gt;=CONFIG!B15,"Đỏ",IF(H23&gt;=CONFIG!B14,"Vàng","Xanh"))</f>
        <v>Xanh</v>
      </c>
    </row>
    <row r="24" spans="1:10">
      <c r="A24" s="5">
        <f>INPUT_TREASURY!A24</f>
        <v>44834</v>
      </c>
      <c r="B24" s="7">
        <f>INPUT_TREASURY!B24</f>
        <v>50000</v>
      </c>
      <c r="C24" s="7">
        <f>INPUT_TREASURY!C24</f>
        <v>2.3094652504363848</v>
      </c>
      <c r="D24" s="7">
        <f>INPUT_TREASURY!D24</f>
        <v>5.4274379414605454</v>
      </c>
      <c r="E24" s="7">
        <f t="shared" si="0"/>
        <v>542.74379414605448</v>
      </c>
      <c r="F24" s="7">
        <f t="shared" si="1"/>
        <v>1085.487588292109</v>
      </c>
      <c r="G24" s="7">
        <f>E24/CONFIG!B4*100</f>
        <v>1.0854875882921091</v>
      </c>
      <c r="H24" s="7">
        <f>F24/CONFIG!B4*100</f>
        <v>2.1709751765842182</v>
      </c>
      <c r="I24" s="7">
        <f t="shared" si="2"/>
        <v>59.814526230666736</v>
      </c>
      <c r="J24" t="str">
        <f>IF(H24&gt;=CONFIG!B15,"Đỏ",IF(H24&gt;=CONFIG!B14,"Vàng","Xanh"))</f>
        <v>Xanh</v>
      </c>
    </row>
    <row r="25" spans="1:10">
      <c r="A25" s="5">
        <f>INPUT_TREASURY!A25</f>
        <v>44865</v>
      </c>
      <c r="B25" s="7">
        <f>INPUT_TREASURY!B25</f>
        <v>50000</v>
      </c>
      <c r="C25" s="7">
        <f>INPUT_TREASURY!C25</f>
        <v>2.2728721045135312</v>
      </c>
      <c r="D25" s="7">
        <f>INPUT_TREASURY!D25</f>
        <v>5.3905674933190992</v>
      </c>
      <c r="E25" s="7">
        <f t="shared" si="0"/>
        <v>539.05674933190994</v>
      </c>
      <c r="F25" s="7">
        <f t="shared" si="1"/>
        <v>1078.1134986638199</v>
      </c>
      <c r="G25" s="7">
        <f>E25/CONFIG!B4*100</f>
        <v>1.0781134986638199</v>
      </c>
      <c r="H25" s="7">
        <f>F25/CONFIG!B4*100</f>
        <v>2.1562269973276398</v>
      </c>
      <c r="I25" s="7">
        <f t="shared" si="2"/>
        <v>60.254753190615347</v>
      </c>
      <c r="J25" t="str">
        <f>IF(H25&gt;=CONFIG!B15,"Đỏ",IF(H25&gt;=CONFIG!B14,"Vàng","Xanh"))</f>
        <v>Xanh</v>
      </c>
    </row>
    <row r="26" spans="1:10">
      <c r="A26" s="5">
        <f>INPUT_TREASURY!A26</f>
        <v>44895</v>
      </c>
      <c r="B26" s="7">
        <f>INPUT_TREASURY!B26</f>
        <v>50000</v>
      </c>
      <c r="C26" s="7">
        <f>INPUT_TREASURY!C26</f>
        <v>2.2335813472183164</v>
      </c>
      <c r="D26" s="7">
        <f>INPUT_TREASURY!D26</f>
        <v>5.3467971230556728</v>
      </c>
      <c r="E26" s="7">
        <f t="shared" si="0"/>
        <v>534.67971230556725</v>
      </c>
      <c r="F26" s="7">
        <f t="shared" si="1"/>
        <v>1069.3594246111345</v>
      </c>
      <c r="G26" s="7">
        <f>E26/CONFIG!B4*100</f>
        <v>1.0693594246111346</v>
      </c>
      <c r="H26" s="7">
        <f>F26/CONFIG!B4*100</f>
        <v>2.1387188492222693</v>
      </c>
      <c r="I26" s="7">
        <f t="shared" si="2"/>
        <v>60.744160730030778</v>
      </c>
      <c r="J26" t="str">
        <f>IF(H26&gt;=CONFIG!B15,"Đỏ",IF(H26&gt;=CONFIG!B14,"Vàng","Xanh"))</f>
        <v>Xanh</v>
      </c>
    </row>
    <row r="27" spans="1:10">
      <c r="A27" s="5">
        <f>INPUT_TREASURY!A27</f>
        <v>44926</v>
      </c>
      <c r="B27" s="7">
        <f>INPUT_TREASURY!B27</f>
        <v>50000</v>
      </c>
      <c r="C27" s="7">
        <f>INPUT_TREASURY!C27</f>
        <v>2.1922060976771975</v>
      </c>
      <c r="D27" s="7">
        <f>INPUT_TREASURY!D27</f>
        <v>5.2965641697413766</v>
      </c>
      <c r="E27" s="7">
        <f t="shared" si="0"/>
        <v>529.65641697413764</v>
      </c>
      <c r="F27" s="7">
        <f t="shared" si="1"/>
        <v>1059.3128339482753</v>
      </c>
      <c r="G27" s="7">
        <f>E27/CONFIG!B4*100</f>
        <v>1.0593128339482754</v>
      </c>
      <c r="H27" s="7">
        <f>F27/CONFIG!B4*100</f>
        <v>2.1186256678965507</v>
      </c>
      <c r="I27" s="7">
        <f t="shared" si="2"/>
        <v>61.276094539616913</v>
      </c>
      <c r="J27" t="str">
        <f>IF(H27&gt;=CONFIG!B15,"Đỏ",IF(H27&gt;=CONFIG!B14,"Vàng","Xanh"))</f>
        <v>Xanh</v>
      </c>
    </row>
    <row r="28" spans="1:10">
      <c r="A28" s="5">
        <f>INPUT_TREASURY!A28</f>
        <v>44957</v>
      </c>
      <c r="B28" s="7">
        <f>INPUT_TREASURY!B28</f>
        <v>50000</v>
      </c>
      <c r="C28" s="7">
        <f>INPUT_TREASURY!C28</f>
        <v>2.1493920028209534</v>
      </c>
      <c r="D28" s="7">
        <f>INPUT_TREASURY!D28</f>
        <v>5.2403705444409212</v>
      </c>
      <c r="E28" s="7">
        <f t="shared" si="0"/>
        <v>524.03705444409206</v>
      </c>
      <c r="F28" s="7">
        <f t="shared" si="1"/>
        <v>1048.0741088881841</v>
      </c>
      <c r="G28" s="7">
        <f>E28/CONFIG!B4*100</f>
        <v>1.0480741088881842</v>
      </c>
      <c r="H28" s="7">
        <f>F28/CONFIG!B4*100</f>
        <v>2.0961482177763684</v>
      </c>
      <c r="I28" s="7">
        <f t="shared" si="2"/>
        <v>61.843381799668691</v>
      </c>
      <c r="J28" t="str">
        <f>IF(H28&gt;=CONFIG!B15,"Đỏ",IF(H28&gt;=CONFIG!B14,"Vàng","Xanh"))</f>
        <v>Xanh</v>
      </c>
    </row>
    <row r="29" spans="1:10">
      <c r="A29" s="5">
        <f>INPUT_TREASURY!A29</f>
        <v>44985</v>
      </c>
      <c r="B29" s="7">
        <f>INPUT_TREASURY!B29</f>
        <v>50000</v>
      </c>
      <c r="C29" s="7">
        <f>INPUT_TREASURY!C29</f>
        <v>2.1058071622802719</v>
      </c>
      <c r="D29" s="7">
        <f>INPUT_TREASURY!D29</f>
        <v>5.1787777152831653</v>
      </c>
      <c r="E29" s="7">
        <f t="shared" si="0"/>
        <v>517.87777152831654</v>
      </c>
      <c r="F29" s="7">
        <f t="shared" si="1"/>
        <v>1035.7555430566331</v>
      </c>
      <c r="G29" s="7">
        <f>E29/CONFIG!B4*100</f>
        <v>1.035755543056633</v>
      </c>
      <c r="H29" s="7">
        <f>F29/CONFIG!B4*100</f>
        <v>2.071511086113266</v>
      </c>
      <c r="I29" s="7">
        <f t="shared" si="2"/>
        <v>62.438431840625171</v>
      </c>
      <c r="J29" t="str">
        <f>IF(H29&gt;=CONFIG!B15,"Đỏ",IF(H29&gt;=CONFIG!B14,"Vàng","Xanh"))</f>
        <v>Xanh</v>
      </c>
    </row>
    <row r="30" spans="1:10">
      <c r="A30" s="5">
        <f>INPUT_TREASURY!A30</f>
        <v>45016</v>
      </c>
      <c r="B30" s="7">
        <f>INPUT_TREASURY!B30</f>
        <v>50000</v>
      </c>
      <c r="C30" s="7">
        <f>INPUT_TREASURY!C30</f>
        <v>2.0621317029144621</v>
      </c>
      <c r="D30" s="7">
        <f>INPUT_TREASURY!D30</f>
        <v>5.1124010974571714</v>
      </c>
      <c r="E30" s="7">
        <f t="shared" si="0"/>
        <v>511.24010974571712</v>
      </c>
      <c r="F30" s="7">
        <f t="shared" si="1"/>
        <v>1022.4802194914342</v>
      </c>
      <c r="G30" s="7">
        <f>E30/CONFIG!B4*100</f>
        <v>1.0224802194914344</v>
      </c>
      <c r="H30" s="7">
        <f>F30/CONFIG!B4*100</f>
        <v>2.0449604389828688</v>
      </c>
      <c r="I30" s="7">
        <f t="shared" si="2"/>
        <v>63.053341986855614</v>
      </c>
      <c r="J30" t="str">
        <f>IF(H30&gt;=CONFIG!B15,"Đỏ",IF(H30&gt;=CONFIG!B14,"Vàng","Xanh"))</f>
        <v>Xanh</v>
      </c>
    </row>
    <row r="31" spans="1:10">
      <c r="A31" s="5">
        <f>INPUT_TREASURY!A31</f>
        <v>45046</v>
      </c>
      <c r="B31" s="7">
        <f>INPUT_TREASURY!B31</f>
        <v>50000</v>
      </c>
      <c r="C31" s="7">
        <f>INPUT_TREASURY!C31</f>
        <v>2.0190471656592925</v>
      </c>
      <c r="D31" s="7">
        <f>INPUT_TREASURY!D31</f>
        <v>5.0419039041870644</v>
      </c>
      <c r="E31" s="7">
        <f t="shared" si="0"/>
        <v>504.19039041870644</v>
      </c>
      <c r="F31" s="7">
        <f t="shared" si="1"/>
        <v>1008.3807808374129</v>
      </c>
      <c r="G31" s="7">
        <f>E31/CONFIG!B4*100</f>
        <v>1.0083807808374128</v>
      </c>
      <c r="H31" s="7">
        <f>F31/CONFIG!B4*100</f>
        <v>2.0167615616748256</v>
      </c>
      <c r="I31" s="7">
        <f t="shared" si="2"/>
        <v>63.680007057977392</v>
      </c>
      <c r="J31" t="str">
        <f>IF(H31&gt;=CONFIG!B15,"Đỏ",IF(H31&gt;=CONFIG!B14,"Vàng","Xanh"))</f>
        <v>Xanh</v>
      </c>
    </row>
    <row r="32" spans="1:10">
      <c r="A32" s="5">
        <f>INPUT_TREASURY!A32</f>
        <v>45077</v>
      </c>
      <c r="B32" s="7">
        <f>INPUT_TREASURY!B32</f>
        <v>50000</v>
      </c>
      <c r="C32" s="7">
        <f>INPUT_TREASURY!C32</f>
        <v>1.9772258703086332</v>
      </c>
      <c r="D32" s="7">
        <f>INPUT_TREASURY!D32</f>
        <v>4.9679905201247241</v>
      </c>
      <c r="E32" s="7">
        <f t="shared" si="0"/>
        <v>496.79905201247243</v>
      </c>
      <c r="F32" s="7">
        <f t="shared" si="1"/>
        <v>993.59810402494486</v>
      </c>
      <c r="G32" s="7">
        <f>E32/CONFIG!B4*100</f>
        <v>0.99359810402494475</v>
      </c>
      <c r="H32" s="7">
        <f>F32/CONFIG!B4*100</f>
        <v>1.9871962080498895</v>
      </c>
      <c r="I32" s="7">
        <f t="shared" si="2"/>
        <v>64.310230957032047</v>
      </c>
      <c r="J32" t="str">
        <f>IF(H32&gt;=CONFIG!B15,"Đỏ",IF(H32&gt;=CONFIG!B14,"Vàng","Xanh"))</f>
        <v>Xanh</v>
      </c>
    </row>
    <row r="33" spans="1:10">
      <c r="A33" s="5">
        <f>INPUT_TREASURY!A33</f>
        <v>45107</v>
      </c>
      <c r="B33" s="7">
        <f>INPUT_TREASURY!B33</f>
        <v>50000</v>
      </c>
      <c r="C33" s="7">
        <f>INPUT_TREASURY!C33</f>
        <v>1.937320424188937</v>
      </c>
      <c r="D33" s="7">
        <f>INPUT_TREASURY!D33</f>
        <v>4.8913994633711866</v>
      </c>
      <c r="E33" s="7">
        <f t="shared" si="0"/>
        <v>489.13994633711866</v>
      </c>
      <c r="F33" s="7">
        <f t="shared" si="1"/>
        <v>978.27989267423732</v>
      </c>
      <c r="G33" s="7">
        <f>E33/CONFIG!B4*100</f>
        <v>0.97827989267423732</v>
      </c>
      <c r="H33" s="7">
        <f>F33/CONFIG!B4*100</f>
        <v>1.9565597853484746</v>
      </c>
      <c r="I33" s="7">
        <f t="shared" si="2"/>
        <v>64.935838753003765</v>
      </c>
      <c r="J33" t="str">
        <f>IF(H33&gt;=CONFIG!B15,"Đỏ",IF(H33&gt;=CONFIG!B14,"Vàng","Xanh"))</f>
        <v>Xanh</v>
      </c>
    </row>
    <row r="34" spans="1:10">
      <c r="A34" s="5">
        <f>INPUT_TREASURY!A34</f>
        <v>45138</v>
      </c>
      <c r="B34" s="7">
        <f>INPUT_TREASURY!B34</f>
        <v>50000</v>
      </c>
      <c r="C34" s="7">
        <f>INPUT_TREASURY!C34</f>
        <v>1.8999535384401798</v>
      </c>
      <c r="D34" s="7">
        <f>INPUT_TREASURY!D34</f>
        <v>4.8128960064478941</v>
      </c>
      <c r="E34" s="7">
        <f t="shared" si="0"/>
        <v>481.2896006447894</v>
      </c>
      <c r="F34" s="7">
        <f t="shared" si="1"/>
        <v>962.5792012895788</v>
      </c>
      <c r="G34" s="7">
        <f>E34/CONFIG!B4*100</f>
        <v>0.96257920128957875</v>
      </c>
      <c r="H34" s="7">
        <f>F34/CONFIG!B4*100</f>
        <v>1.9251584025791575</v>
      </c>
      <c r="I34" s="7">
        <f t="shared" si="2"/>
        <v>65.548787666686991</v>
      </c>
      <c r="J34" t="str">
        <f>IF(H34&gt;=CONFIG!B15,"Đỏ",IF(H34&gt;=CONFIG!B14,"Vàng","Xanh"))</f>
        <v>Xanh</v>
      </c>
    </row>
    <row r="35" spans="1:10">
      <c r="A35" s="5">
        <f>INPUT_TREASURY!A35</f>
        <v>45169</v>
      </c>
      <c r="B35" s="7">
        <f>INPUT_TREASURY!B35</f>
        <v>50000</v>
      </c>
      <c r="C35" s="7">
        <f>INPUT_TREASURY!C35</f>
        <v>1.8657083108167924</v>
      </c>
      <c r="D35" s="7">
        <f>INPUT_TREASURY!D35</f>
        <v>4.7332645299466325</v>
      </c>
      <c r="E35" s="7">
        <f t="shared" si="0"/>
        <v>473.32645299466327</v>
      </c>
      <c r="F35" s="7">
        <f t="shared" si="1"/>
        <v>946.65290598932654</v>
      </c>
      <c r="G35" s="7">
        <f>E35/CONFIG!B4*100</f>
        <v>0.9466529059893265</v>
      </c>
      <c r="H35" s="7">
        <f>F35/CONFIG!B4*100</f>
        <v>1.893305811978653</v>
      </c>
      <c r="I35" s="7">
        <f t="shared" si="2"/>
        <v>66.141275393679138</v>
      </c>
      <c r="J35" t="str">
        <f>IF(H35&gt;=CONFIG!B15,"Đỏ",IF(H35&gt;=CONFIG!B14,"Vàng","Xanh"))</f>
        <v>Xanh</v>
      </c>
    </row>
    <row r="36" spans="1:10">
      <c r="A36" s="5">
        <f>INPUT_TREASURY!A36</f>
        <v>45199</v>
      </c>
      <c r="B36" s="7">
        <f>INPUT_TREASURY!B36</f>
        <v>50000</v>
      </c>
      <c r="C36" s="7">
        <f>INPUT_TREASURY!C36</f>
        <v>1.8351191266422253</v>
      </c>
      <c r="D36" s="7">
        <f>INPUT_TREASURY!D36</f>
        <v>4.6533006852579364</v>
      </c>
      <c r="E36" s="7">
        <f t="shared" ref="E36:E67" si="3">D36*100</f>
        <v>465.33006852579365</v>
      </c>
      <c r="F36" s="7">
        <f t="shared" ref="F36:F67" si="4">D36*200</f>
        <v>930.6601370515873</v>
      </c>
      <c r="G36" s="7">
        <f>E36/CONFIG!B4*100</f>
        <v>0.93066013705158723</v>
      </c>
      <c r="H36" s="7">
        <f>F36/CONFIG!B4*100</f>
        <v>1.8613202741031745</v>
      </c>
      <c r="I36" s="7">
        <f t="shared" ref="I36:I67" si="5">MAX(0,100-H36*10-C36*8)</f>
        <v>66.705844245830463</v>
      </c>
      <c r="J36" t="str">
        <f>IF(H36&gt;=CONFIG!B15,"Đỏ",IF(H36&gt;=CONFIG!B14,"Vàng","Xanh"))</f>
        <v>Xanh</v>
      </c>
    </row>
    <row r="37" spans="1:10">
      <c r="A37" s="5">
        <f>INPUT_TREASURY!A37</f>
        <v>45230</v>
      </c>
      <c r="B37" s="7">
        <f>INPUT_TREASURY!B37</f>
        <v>50000</v>
      </c>
      <c r="C37" s="7">
        <f>INPUT_TREASURY!C37</f>
        <v>1.8086633199047046</v>
      </c>
      <c r="D37" s="7">
        <f>INPUT_TREASURY!D37</f>
        <v>4.5738034446854012</v>
      </c>
      <c r="E37" s="7">
        <f t="shared" si="3"/>
        <v>457.3803444685401</v>
      </c>
      <c r="F37" s="7">
        <f t="shared" si="4"/>
        <v>914.7606889370802</v>
      </c>
      <c r="G37" s="7">
        <f>E37/CONFIG!B4*100</f>
        <v>0.91476068893708018</v>
      </c>
      <c r="H37" s="7">
        <f>F37/CONFIG!B4*100</f>
        <v>1.8295213778741604</v>
      </c>
      <c r="I37" s="7">
        <f t="shared" si="5"/>
        <v>67.235479662020751</v>
      </c>
      <c r="J37" t="str">
        <f>IF(H37&gt;=CONFIG!B15,"Đỏ",IF(H37&gt;=CONFIG!B14,"Vàng","Xanh"))</f>
        <v>Xanh</v>
      </c>
    </row>
    <row r="38" spans="1:10">
      <c r="A38" s="5">
        <f>INPUT_TREASURY!A38</f>
        <v>45260</v>
      </c>
      <c r="B38" s="7">
        <f>INPUT_TREASURY!B38</f>
        <v>50000</v>
      </c>
      <c r="C38" s="7">
        <f>INPUT_TREASURY!C38</f>
        <v>1.7867537246199958</v>
      </c>
      <c r="D38" s="7">
        <f>INPUT_TREASURY!D38</f>
        <v>4.4955671183785348</v>
      </c>
      <c r="E38" s="7">
        <f t="shared" si="3"/>
        <v>449.55671183785347</v>
      </c>
      <c r="F38" s="7">
        <f t="shared" si="4"/>
        <v>899.11342367570694</v>
      </c>
      <c r="G38" s="7">
        <f>E38/CONFIG!B4*100</f>
        <v>0.89911342367570701</v>
      </c>
      <c r="H38" s="7">
        <f>F38/CONFIG!B4*100</f>
        <v>1.798226847351414</v>
      </c>
      <c r="I38" s="7">
        <f t="shared" si="5"/>
        <v>67.723701729525899</v>
      </c>
      <c r="J38" t="str">
        <f>IF(H38&gt;=CONFIG!B15,"Đỏ",IF(H38&gt;=CONFIG!B14,"Vàng","Xanh"))</f>
        <v>Xanh</v>
      </c>
    </row>
    <row r="39" spans="1:10">
      <c r="A39" s="5">
        <f>INPUT_TREASURY!A39</f>
        <v>45291</v>
      </c>
      <c r="B39" s="7">
        <f>INPUT_TREASURY!B39</f>
        <v>50000</v>
      </c>
      <c r="C39" s="7">
        <f>INPUT_TREASURY!C39</f>
        <v>1.7697322326946632</v>
      </c>
      <c r="D39" s="7">
        <f>INPUT_TREASURY!D39</f>
        <v>4.4193734178483046</v>
      </c>
      <c r="E39" s="7">
        <f t="shared" si="3"/>
        <v>441.93734178483044</v>
      </c>
      <c r="F39" s="7">
        <f t="shared" si="4"/>
        <v>883.87468356966087</v>
      </c>
      <c r="G39" s="7">
        <f>E39/CONFIG!B4*100</f>
        <v>0.88387468356966092</v>
      </c>
      <c r="H39" s="7">
        <f>F39/CONFIG!B4*100</f>
        <v>1.7677493671393218</v>
      </c>
      <c r="I39" s="7">
        <f t="shared" si="5"/>
        <v>68.164648467049474</v>
      </c>
      <c r="J39" t="str">
        <f>IF(H39&gt;=CONFIG!B15,"Đỏ",IF(H39&gt;=CONFIG!B14,"Vàng","Xanh"))</f>
        <v>Xanh</v>
      </c>
    </row>
    <row r="40" spans="1:10">
      <c r="A40" s="5">
        <f>INPUT_TREASURY!A40</f>
        <v>45322</v>
      </c>
      <c r="B40" s="7">
        <f>INPUT_TREASURY!B40</f>
        <v>50000</v>
      </c>
      <c r="C40" s="7">
        <f>INPUT_TREASURY!C40</f>
        <v>1.7578644588172161</v>
      </c>
      <c r="D40" s="7">
        <f>INPUT_TREASURY!D40</f>
        <v>4.3459836453641181</v>
      </c>
      <c r="E40" s="7">
        <f t="shared" si="3"/>
        <v>434.59836453641179</v>
      </c>
      <c r="F40" s="7">
        <f t="shared" si="4"/>
        <v>869.19672907282359</v>
      </c>
      <c r="G40" s="7">
        <f>E40/CONFIG!B4*100</f>
        <v>0.86919672907282364</v>
      </c>
      <c r="H40" s="7">
        <f>F40/CONFIG!B4*100</f>
        <v>1.7383934581456473</v>
      </c>
      <c r="I40" s="7">
        <f t="shared" si="5"/>
        <v>68.553149748005794</v>
      </c>
      <c r="J40" t="str">
        <f>IF(H40&gt;=CONFIG!B15,"Đỏ",IF(H40&gt;=CONFIG!B14,"Vàng","Xanh"))</f>
        <v>Xanh</v>
      </c>
    </row>
    <row r="41" spans="1:10">
      <c r="A41" s="5">
        <f>INPUT_TREASURY!A41</f>
        <v>45351</v>
      </c>
      <c r="B41" s="7">
        <f>INPUT_TREASURY!B41</f>
        <v>50000</v>
      </c>
      <c r="C41" s="7">
        <f>INPUT_TREASURY!C41</f>
        <v>1.7513355956297323</v>
      </c>
      <c r="D41" s="7">
        <f>INPUT_TREASURY!D41</f>
        <v>4.276131087273205</v>
      </c>
      <c r="E41" s="7">
        <f t="shared" si="3"/>
        <v>427.61310872732048</v>
      </c>
      <c r="F41" s="7">
        <f t="shared" si="4"/>
        <v>855.22621745464096</v>
      </c>
      <c r="G41" s="7">
        <f>E41/CONFIG!B4*100</f>
        <v>0.855226217454641</v>
      </c>
      <c r="H41" s="7">
        <f>F41/CONFIG!B4*100</f>
        <v>1.710452434909282</v>
      </c>
      <c r="I41" s="7">
        <f t="shared" si="5"/>
        <v>68.884790885869307</v>
      </c>
      <c r="J41" t="str">
        <f>IF(H41&gt;=CONFIG!B15,"Đỏ",IF(H41&gt;=CONFIG!B14,"Vàng","Xanh"))</f>
        <v>Xanh</v>
      </c>
    </row>
    <row r="42" spans="1:10">
      <c r="A42" s="5">
        <f>INPUT_TREASURY!A42</f>
        <v>45382</v>
      </c>
      <c r="B42" s="7">
        <f>INPUT_TREASURY!B42</f>
        <v>50000</v>
      </c>
      <c r="C42" s="7">
        <f>INPUT_TREASURY!C42</f>
        <v>1.7502475238586177</v>
      </c>
      <c r="D42" s="7">
        <f>INPUT_TREASURY!D42</f>
        <v>4.2105136872458253</v>
      </c>
      <c r="E42" s="7">
        <f t="shared" si="3"/>
        <v>421.05136872458252</v>
      </c>
      <c r="F42" s="7">
        <f t="shared" si="4"/>
        <v>842.10273744916503</v>
      </c>
      <c r="G42" s="7">
        <f>E42/CONFIG!B4*100</f>
        <v>0.84210273744916508</v>
      </c>
      <c r="H42" s="7">
        <f>F42/CONFIG!B4*100</f>
        <v>1.6842054748983302</v>
      </c>
      <c r="I42" s="7">
        <f t="shared" si="5"/>
        <v>69.155965060147764</v>
      </c>
      <c r="J42" t="str">
        <f>IF(H42&gt;=CONFIG!B15,"Đỏ",IF(H42&gt;=CONFIG!B14,"Vàng","Xanh"))</f>
        <v>Xanh</v>
      </c>
    </row>
    <row r="43" spans="1:10">
      <c r="A43" s="5">
        <f>INPUT_TREASURY!A43</f>
        <v>45412</v>
      </c>
      <c r="B43" s="7">
        <f>INPUT_TREASURY!B43</f>
        <v>50000</v>
      </c>
      <c r="C43" s="7">
        <f>INPUT_TREASURY!C43</f>
        <v>1.7546172224999457</v>
      </c>
      <c r="D43" s="7">
        <f>INPUT_TREASURY!D43</f>
        <v>4.1497870726528214</v>
      </c>
      <c r="E43" s="7">
        <f t="shared" si="3"/>
        <v>414.97870726528214</v>
      </c>
      <c r="F43" s="7">
        <f t="shared" si="4"/>
        <v>829.95741453056428</v>
      </c>
      <c r="G43" s="7">
        <f>E43/CONFIG!B4*100</f>
        <v>0.82995741453056426</v>
      </c>
      <c r="H43" s="7">
        <f>F43/CONFIG!B4*100</f>
        <v>1.6599148290611285</v>
      </c>
      <c r="I43" s="7">
        <f t="shared" si="5"/>
        <v>69.363913929389156</v>
      </c>
      <c r="J43" t="str">
        <f>IF(H43&gt;=CONFIG!B15,"Đỏ",IF(H43&gt;=CONFIG!B14,"Vàng","Xanh"))</f>
        <v>Xanh</v>
      </c>
    </row>
    <row r="44" spans="1:10">
      <c r="A44" s="5">
        <f>INPUT_TREASURY!A44</f>
        <v>45443</v>
      </c>
      <c r="B44" s="7">
        <f>INPUT_TREASURY!B44</f>
        <v>50000</v>
      </c>
      <c r="C44" s="7">
        <f>INPUT_TREASURY!C44</f>
        <v>1.7643765038679016</v>
      </c>
      <c r="D44" s="7">
        <f>INPUT_TREASURY!D44</f>
        <v>4.094558003753658</v>
      </c>
      <c r="E44" s="7">
        <f t="shared" si="3"/>
        <v>409.45580037536581</v>
      </c>
      <c r="F44" s="7">
        <f t="shared" si="4"/>
        <v>818.91160075073162</v>
      </c>
      <c r="G44" s="7">
        <f>E44/CONFIG!B4*100</f>
        <v>0.81891160075073155</v>
      </c>
      <c r="H44" s="7">
        <f>F44/CONFIG!B4*100</f>
        <v>1.6378232015014631</v>
      </c>
      <c r="I44" s="7">
        <f t="shared" si="5"/>
        <v>69.506755954042148</v>
      </c>
      <c r="J44" t="str">
        <f>IF(H44&gt;=CONFIG!B15,"Đỏ",IF(H44&gt;=CONFIG!B14,"Vàng","Xanh"))</f>
        <v>Xanh</v>
      </c>
    </row>
    <row r="45" spans="1:10">
      <c r="A45" s="5">
        <f>INPUT_TREASURY!A45</f>
        <v>45473</v>
      </c>
      <c r="B45" s="7">
        <f>INPUT_TREASURY!B45</f>
        <v>50000</v>
      </c>
      <c r="C45" s="7">
        <f>INPUT_TREASURY!C45</f>
        <v>1.7793730776408148</v>
      </c>
      <c r="D45" s="7">
        <f>INPUT_TREASURY!D45</f>
        <v>4.0453783111484718</v>
      </c>
      <c r="E45" s="7">
        <f t="shared" si="3"/>
        <v>404.53783111484717</v>
      </c>
      <c r="F45" s="7">
        <f t="shared" si="4"/>
        <v>809.07566222969433</v>
      </c>
      <c r="G45" s="7">
        <f>E45/CONFIG!B4*100</f>
        <v>0.8090756622296944</v>
      </c>
      <c r="H45" s="7">
        <f>F45/CONFIG!B4*100</f>
        <v>1.6181513244593888</v>
      </c>
      <c r="I45" s="7">
        <f t="shared" si="5"/>
        <v>69.583502134279598</v>
      </c>
      <c r="J45" t="str">
        <f>IF(H45&gt;=CONFIG!B15,"Đỏ",IF(H45&gt;=CONFIG!B14,"Vàng","Xanh"))</f>
        <v>Xanh</v>
      </c>
    </row>
    <row r="46" spans="1:10">
      <c r="A46" s="5">
        <f>INPUT_TREASURY!A46</f>
        <v>45504</v>
      </c>
      <c r="B46" s="7">
        <f>INPUT_TREASURY!B46</f>
        <v>50000</v>
      </c>
      <c r="C46" s="7">
        <f>INPUT_TREASURY!C46</f>
        <v>1.7993729273006929</v>
      </c>
      <c r="D46" s="7">
        <f>INPUT_TREASURY!D46</f>
        <v>4.0027393820691293</v>
      </c>
      <c r="E46" s="7">
        <f t="shared" si="3"/>
        <v>400.27393820691293</v>
      </c>
      <c r="F46" s="7">
        <f t="shared" si="4"/>
        <v>800.54787641382586</v>
      </c>
      <c r="G46" s="7">
        <f>E46/CONFIG!B4*100</f>
        <v>0.80054787641382574</v>
      </c>
      <c r="H46" s="7">
        <f>F46/CONFIG!B4*100</f>
        <v>1.6010957528276515</v>
      </c>
      <c r="I46" s="7">
        <f t="shared" si="5"/>
        <v>69.594059053317935</v>
      </c>
      <c r="J46" t="str">
        <f>IF(H46&gt;=CONFIG!B15,"Đỏ",IF(H46&gt;=CONFIG!B14,"Vàng","Xanh"))</f>
        <v>Xanh</v>
      </c>
    </row>
    <row r="47" spans="1:10">
      <c r="A47" s="5">
        <f>INPUT_TREASURY!A47</f>
        <v>45535</v>
      </c>
      <c r="B47" s="7">
        <f>INPUT_TREASURY!B47</f>
        <v>50000</v>
      </c>
      <c r="C47" s="7">
        <f>INPUT_TREASURY!C47</f>
        <v>1.8240639618827164</v>
      </c>
      <c r="D47" s="7">
        <f>INPUT_TREASURY!D47</f>
        <v>3.9670672506004361</v>
      </c>
      <c r="E47" s="7">
        <f t="shared" si="3"/>
        <v>396.7067250600436</v>
      </c>
      <c r="F47" s="7">
        <f t="shared" si="4"/>
        <v>793.41345012008719</v>
      </c>
      <c r="G47" s="7">
        <f>E47/CONFIG!B4*100</f>
        <v>0.79341345012008713</v>
      </c>
      <c r="H47" s="7">
        <f>F47/CONFIG!B4*100</f>
        <v>1.5868269002401743</v>
      </c>
      <c r="I47" s="7">
        <f t="shared" si="5"/>
        <v>69.539219302536523</v>
      </c>
      <c r="J47" t="str">
        <f>IF(H47&gt;=CONFIG!B15,"Đỏ",IF(H47&gt;=CONFIG!B14,"Vàng","Xanh"))</f>
        <v>Xanh</v>
      </c>
    </row>
    <row r="48" spans="1:10">
      <c r="A48" s="5">
        <f>INPUT_TREASURY!A48</f>
        <v>45565</v>
      </c>
      <c r="B48" s="7">
        <f>INPUT_TREASURY!B48</f>
        <v>50000</v>
      </c>
      <c r="C48" s="7">
        <f>INPUT_TREASURY!C48</f>
        <v>1.853060886050363</v>
      </c>
      <c r="D48" s="7">
        <f>INPUT_TREASURY!D48</f>
        <v>3.9387183408883875</v>
      </c>
      <c r="E48" s="7">
        <f t="shared" si="3"/>
        <v>393.87183408883874</v>
      </c>
      <c r="F48" s="7">
        <f t="shared" si="4"/>
        <v>787.74366817767748</v>
      </c>
      <c r="G48" s="7">
        <f>E48/CONFIG!B4*100</f>
        <v>0.78774366817767749</v>
      </c>
      <c r="H48" s="7">
        <f>F48/CONFIG!B4*100</f>
        <v>1.575487336355355</v>
      </c>
      <c r="I48" s="7">
        <f t="shared" si="5"/>
        <v>69.420639548043553</v>
      </c>
      <c r="J48" t="str">
        <f>IF(H48&gt;=CONFIG!B15,"Đỏ",IF(H48&gt;=CONFIG!B14,"Vàng","Xanh"))</f>
        <v>Xanh</v>
      </c>
    </row>
    <row r="49" spans="1:10">
      <c r="A49" s="5">
        <f>INPUT_TREASURY!A49</f>
        <v>45596</v>
      </c>
      <c r="B49" s="7">
        <f>INPUT_TREASURY!B49</f>
        <v>50000</v>
      </c>
      <c r="C49" s="7">
        <f>INPUT_TREASURY!C49</f>
        <v>1.8859112125002691</v>
      </c>
      <c r="D49" s="7">
        <f>INPUT_TREASURY!D49</f>
        <v>3.9179759058679227</v>
      </c>
      <c r="E49" s="7">
        <f t="shared" si="3"/>
        <v>391.79759058679224</v>
      </c>
      <c r="F49" s="7">
        <f t="shared" si="4"/>
        <v>783.59518117358448</v>
      </c>
      <c r="G49" s="7">
        <f>E49/CONFIG!B4*100</f>
        <v>0.7835951811735844</v>
      </c>
      <c r="H49" s="7">
        <f>F49/CONFIG!B4*100</f>
        <v>1.5671903623471688</v>
      </c>
      <c r="I49" s="7">
        <f t="shared" si="5"/>
        <v>69.240806676526148</v>
      </c>
      <c r="J49" t="str">
        <f>IF(H49&gt;=CONFIG!B15,"Đỏ",IF(H49&gt;=CONFIG!B14,"Vàng","Xanh"))</f>
        <v>Xanh</v>
      </c>
    </row>
    <row r="50" spans="1:10">
      <c r="A50" s="5">
        <f>INPUT_TREASURY!A50</f>
        <v>45626</v>
      </c>
      <c r="B50" s="7">
        <f>INPUT_TREASURY!B50</f>
        <v>50000</v>
      </c>
      <c r="C50" s="7">
        <f>INPUT_TREASURY!C50</f>
        <v>1.9221023228752596</v>
      </c>
      <c r="D50" s="7">
        <f>INPUT_TREASURY!D50</f>
        <v>3.9050471970932286</v>
      </c>
      <c r="E50" s="7">
        <f t="shared" si="3"/>
        <v>390.50471970932284</v>
      </c>
      <c r="F50" s="7">
        <f t="shared" si="4"/>
        <v>781.00943941864568</v>
      </c>
      <c r="G50" s="7">
        <f>E50/CONFIG!B4*100</f>
        <v>0.78100943941864565</v>
      </c>
      <c r="H50" s="7">
        <f>F50/CONFIG!B4*100</f>
        <v>1.5620188788372913</v>
      </c>
      <c r="I50" s="7">
        <f t="shared" si="5"/>
        <v>69.002992628625009</v>
      </c>
      <c r="J50" t="str">
        <f>IF(H50&gt;=CONFIG!B15,"Đỏ",IF(H50&gt;=CONFIG!B14,"Vàng","Xanh"))</f>
        <v>Xanh</v>
      </c>
    </row>
    <row r="51" spans="1:10">
      <c r="A51" s="5">
        <f>INPUT_TREASURY!A51</f>
        <v>45657</v>
      </c>
      <c r="B51" s="7">
        <f>INPUT_TREASURY!B51</f>
        <v>50000</v>
      </c>
      <c r="C51" s="7">
        <f>INPUT_TREASURY!C51</f>
        <v>1.9610694670023636</v>
      </c>
      <c r="D51" s="7">
        <f>INPUT_TREASURY!D51</f>
        <v>3.9000613939487194</v>
      </c>
      <c r="E51" s="7">
        <f t="shared" si="3"/>
        <v>390.00613939487192</v>
      </c>
      <c r="F51" s="7">
        <f t="shared" si="4"/>
        <v>780.01227878974385</v>
      </c>
      <c r="G51" s="7">
        <f>E51/CONFIG!B4*100</f>
        <v>0.78001227878974388</v>
      </c>
      <c r="H51" s="7">
        <f>F51/CONFIG!B4*100</f>
        <v>1.5600245575794878</v>
      </c>
      <c r="I51" s="7">
        <f t="shared" si="5"/>
        <v>68.711198688186215</v>
      </c>
      <c r="J51" t="str">
        <f>IF(H51&gt;=CONFIG!B15,"Đỏ",IF(H51&gt;=CONFIG!B14,"Vàng","Xanh"))</f>
        <v>Xanh</v>
      </c>
    </row>
    <row r="52" spans="1:10">
      <c r="A52" s="5">
        <f>INPUT_TREASURY!A52</f>
        <v>45688</v>
      </c>
      <c r="B52" s="7">
        <f>INPUT_TREASURY!B52</f>
        <v>50000</v>
      </c>
      <c r="C52" s="7">
        <f>INPUT_TREASURY!C52</f>
        <v>2.0022045756303761</v>
      </c>
      <c r="D52" s="7">
        <f>INPUT_TREASURY!D52</f>
        <v>3.9030683129313277</v>
      </c>
      <c r="E52" s="7">
        <f t="shared" si="3"/>
        <v>390.30683129313275</v>
      </c>
      <c r="F52" s="7">
        <f t="shared" si="4"/>
        <v>780.61366258626549</v>
      </c>
      <c r="G52" s="7">
        <f>E52/CONFIG!B4*100</f>
        <v>0.78061366258626552</v>
      </c>
      <c r="H52" s="7">
        <f>F52/CONFIG!B4*100</f>
        <v>1.561227325172531</v>
      </c>
      <c r="I52" s="7">
        <f t="shared" si="5"/>
        <v>68.370090143231678</v>
      </c>
      <c r="J52" t="str">
        <f>IF(H52&gt;=CONFIG!B15,"Đỏ",IF(H52&gt;=CONFIG!B14,"Vàng","Xanh"))</f>
        <v>Xanh</v>
      </c>
    </row>
    <row r="53" spans="1:10">
      <c r="A53" s="5">
        <f>INPUT_TREASURY!A53</f>
        <v>45716</v>
      </c>
      <c r="B53" s="7">
        <f>INPUT_TREASURY!B53</f>
        <v>50000</v>
      </c>
      <c r="C53" s="7">
        <f>INPUT_TREASURY!C53</f>
        <v>2.0448657491471502</v>
      </c>
      <c r="D53" s="7">
        <f>INPUT_TREASURY!D53</f>
        <v>3.914037909900534</v>
      </c>
      <c r="E53" s="7">
        <f t="shared" si="3"/>
        <v>391.40379099005338</v>
      </c>
      <c r="F53" s="7">
        <f t="shared" si="4"/>
        <v>782.80758198010676</v>
      </c>
      <c r="G53" s="7">
        <f>E53/CONFIG!B4*100</f>
        <v>0.7828075819801068</v>
      </c>
      <c r="H53" s="7">
        <f>F53/CONFIG!B4*100</f>
        <v>1.5656151639602136</v>
      </c>
      <c r="I53" s="7">
        <f t="shared" si="5"/>
        <v>67.984922367220662</v>
      </c>
      <c r="J53" t="str">
        <f>IF(H53&gt;=CONFIG!B15,"Đỏ",IF(H53&gt;=CONFIG!B14,"Vàng","Xanh"))</f>
        <v>Xanh</v>
      </c>
    </row>
    <row r="54" spans="1:10">
      <c r="A54" s="5">
        <f>INPUT_TREASURY!A54</f>
        <v>45747</v>
      </c>
      <c r="B54" s="7">
        <f>INPUT_TREASURY!B54</f>
        <v>50000</v>
      </c>
      <c r="C54" s="7">
        <f>INPUT_TREASURY!C54</f>
        <v>2.0883872742083551</v>
      </c>
      <c r="D54" s="7">
        <f>INPUT_TREASURY!D54</f>
        <v>3.9328605802694891</v>
      </c>
      <c r="E54" s="7">
        <f t="shared" si="3"/>
        <v>393.28605802694892</v>
      </c>
      <c r="F54" s="7">
        <f t="shared" si="4"/>
        <v>786.57211605389784</v>
      </c>
      <c r="G54" s="7">
        <f>E54/CONFIG!B4*100</f>
        <v>0.78657211605389787</v>
      </c>
      <c r="H54" s="7">
        <f>F54/CONFIG!B4*100</f>
        <v>1.5731442321077957</v>
      </c>
      <c r="I54" s="7">
        <f t="shared" si="5"/>
        <v>67.561459485255199</v>
      </c>
      <c r="J54" t="str">
        <f>IF(H54&gt;=CONFIG!B15,"Đỏ",IF(H54&gt;=CONFIG!B14,"Vàng","Xanh"))</f>
        <v>Xanh</v>
      </c>
    </row>
    <row r="55" spans="1:10">
      <c r="A55" s="5">
        <f>INPUT_TREASURY!A55</f>
        <v>45777</v>
      </c>
      <c r="B55" s="7">
        <f>INPUT_TREASURY!B55</f>
        <v>50000</v>
      </c>
      <c r="C55" s="7">
        <f>INPUT_TREASURY!C55</f>
        <v>2.1320900119715622</v>
      </c>
      <c r="D55" s="7">
        <f>INPUT_TREASURY!D55</f>
        <v>3.9593482541378142</v>
      </c>
      <c r="E55" s="7">
        <f t="shared" si="3"/>
        <v>395.93482541378143</v>
      </c>
      <c r="F55" s="7">
        <f t="shared" si="4"/>
        <v>791.86965082756285</v>
      </c>
      <c r="G55" s="7">
        <f>E55/CONFIG!B4*100</f>
        <v>0.79186965082756289</v>
      </c>
      <c r="H55" s="7">
        <f>F55/CONFIG!B4*100</f>
        <v>1.5837393016551258</v>
      </c>
      <c r="I55" s="7">
        <f t="shared" si="5"/>
        <v>67.105886887676235</v>
      </c>
      <c r="J55" t="str">
        <f>IF(H55&gt;=CONFIG!B15,"Đỏ",IF(H55&gt;=CONFIG!B14,"Vàng","Xanh"))</f>
        <v>Xanh</v>
      </c>
    </row>
    <row r="56" spans="1:10">
      <c r="A56" s="5">
        <f>INPUT_TREASURY!A56</f>
        <v>45808</v>
      </c>
      <c r="B56" s="7">
        <f>INPUT_TREASURY!B56</f>
        <v>50000</v>
      </c>
      <c r="C56" s="7">
        <f>INPUT_TREASURY!C56</f>
        <v>2.1752919958307357</v>
      </c>
      <c r="D56" s="7">
        <f>INPUT_TREASURY!D56</f>
        <v>3.9932362754238775</v>
      </c>
      <c r="E56" s="7">
        <f t="shared" si="3"/>
        <v>399.32362754238773</v>
      </c>
      <c r="F56" s="7">
        <f t="shared" si="4"/>
        <v>798.64725508477545</v>
      </c>
      <c r="G56" s="7">
        <f>E56/CONFIG!B4*100</f>
        <v>0.79864725508477541</v>
      </c>
      <c r="H56" s="7">
        <f>F56/CONFIG!B4*100</f>
        <v>1.5972945101695508</v>
      </c>
      <c r="I56" s="7">
        <f t="shared" si="5"/>
        <v>66.624718931658606</v>
      </c>
      <c r="J56" t="str">
        <f>IF(H56&gt;=CONFIG!B15,"Đỏ",IF(H56&gt;=CONFIG!B14,"Vàng","Xanh"))</f>
        <v>Xanh</v>
      </c>
    </row>
    <row r="57" spans="1:10">
      <c r="A57" s="5">
        <f>INPUT_TREASURY!A57</f>
        <v>45838</v>
      </c>
      <c r="B57" s="7">
        <f>INPUT_TREASURY!B57</f>
        <v>50000</v>
      </c>
      <c r="C57" s="7">
        <f>INPUT_TREASURY!C57</f>
        <v>2.21731907327703</v>
      </c>
      <c r="D57" s="7">
        <f>INPUT_TREASURY!D57</f>
        <v>4.0341860462208796</v>
      </c>
      <c r="E57" s="7">
        <f t="shared" si="3"/>
        <v>403.41860462208797</v>
      </c>
      <c r="F57" s="7">
        <f t="shared" si="4"/>
        <v>806.83720924417594</v>
      </c>
      <c r="G57" s="7">
        <f>E57/CONFIG!B4*100</f>
        <v>0.80683720924417601</v>
      </c>
      <c r="H57" s="7">
        <f>F57/CONFIG!B4*100</f>
        <v>1.613674418488352</v>
      </c>
      <c r="I57" s="7">
        <f t="shared" si="5"/>
        <v>66.124703228900231</v>
      </c>
      <c r="J57" t="str">
        <f>IF(H57&gt;=CONFIG!B15,"Đỏ",IF(H57&gt;=CONFIG!B14,"Vàng","Xanh"))</f>
        <v>Xanh</v>
      </c>
    </row>
    <row r="58" spans="1:10">
      <c r="A58" s="5">
        <f>INPUT_TREASURY!A58</f>
        <v>45869</v>
      </c>
      <c r="B58" s="7">
        <f>INPUT_TREASURY!B58</f>
        <v>50000</v>
      </c>
      <c r="C58" s="7">
        <f>INPUT_TREASURY!C58</f>
        <v>2.2575154258232164</v>
      </c>
      <c r="D58" s="7">
        <f>INPUT_TREASURY!D58</f>
        <v>4.0817884099552106</v>
      </c>
      <c r="E58" s="7">
        <f t="shared" si="3"/>
        <v>408.17884099552106</v>
      </c>
      <c r="F58" s="7">
        <f t="shared" si="4"/>
        <v>816.35768199104211</v>
      </c>
      <c r="G58" s="7">
        <f>E58/CONFIG!B4*100</f>
        <v>0.81635768199104208</v>
      </c>
      <c r="H58" s="7">
        <f>F58/CONFIG!B4*100</f>
        <v>1.6327153639820842</v>
      </c>
      <c r="I58" s="7">
        <f t="shared" si="5"/>
        <v>65.612722953593433</v>
      </c>
      <c r="J58" t="str">
        <f>IF(H58&gt;=CONFIG!B15,"Đỏ",IF(H58&gt;=CONFIG!B14,"Vàng","Xanh"))</f>
        <v>Xanh</v>
      </c>
    </row>
    <row r="59" spans="1:10">
      <c r="A59" s="5">
        <f>INPUT_TREASURY!A59</f>
        <v>45900</v>
      </c>
      <c r="B59" s="7">
        <f>INPUT_TREASURY!B59</f>
        <v>50000</v>
      </c>
      <c r="C59" s="7">
        <f>INPUT_TREASURY!C59</f>
        <v>2.2952538028318292</v>
      </c>
      <c r="D59" s="7">
        <f>INPUT_TREASURY!D59</f>
        <v>4.1355677395436867</v>
      </c>
      <c r="E59" s="7">
        <f t="shared" si="3"/>
        <v>413.55677395436868</v>
      </c>
      <c r="F59" s="7">
        <f t="shared" si="4"/>
        <v>827.11354790873736</v>
      </c>
      <c r="G59" s="7">
        <f>E59/CONFIG!B4*100</f>
        <v>0.82711354790873726</v>
      </c>
      <c r="H59" s="7">
        <f>F59/CONFIG!B4*100</f>
        <v>1.6542270958174745</v>
      </c>
      <c r="I59" s="7">
        <f t="shared" si="5"/>
        <v>65.095698619170605</v>
      </c>
      <c r="J59" t="str">
        <f>IF(H59&gt;=CONFIG!B15,"Đỏ",IF(H59&gt;=CONFIG!B14,"Vàng","Xanh"))</f>
        <v>Xanh</v>
      </c>
    </row>
    <row r="60" spans="1:10">
      <c r="A60" s="5">
        <f>INPUT_TREASURY!A60</f>
        <v>45930</v>
      </c>
      <c r="B60" s="7">
        <f>INPUT_TREASURY!B60</f>
        <v>50000</v>
      </c>
      <c r="C60" s="7">
        <f>INPUT_TREASURY!C60</f>
        <v>2.3299453095515763</v>
      </c>
      <c r="D60" s="7">
        <f>INPUT_TREASURY!D60</f>
        <v>4.1949866897021426</v>
      </c>
      <c r="E60" s="7">
        <f t="shared" si="3"/>
        <v>419.49866897021428</v>
      </c>
      <c r="F60" s="7">
        <f t="shared" si="4"/>
        <v>838.99733794042857</v>
      </c>
      <c r="G60" s="7">
        <f>E60/CONFIG!B4*100</f>
        <v>0.83899733794042863</v>
      </c>
      <c r="H60" s="7">
        <f>F60/CONFIG!B4*100</f>
        <v>1.6779946758808573</v>
      </c>
      <c r="I60" s="7">
        <f t="shared" si="5"/>
        <v>64.580490764778816</v>
      </c>
      <c r="J60" t="str">
        <f>IF(H60&gt;=CONFIG!B15,"Đỏ",IF(H60&gt;=CONFIG!B14,"Vàng","Xanh"))</f>
        <v>Xanh</v>
      </c>
    </row>
    <row r="61" spans="1:10">
      <c r="A61" s="5">
        <f>INPUT_TREASURY!A61</f>
        <v>45961</v>
      </c>
      <c r="B61" s="7">
        <f>INPUT_TREASURY!B61</f>
        <v>50000</v>
      </c>
      <c r="C61" s="7">
        <f>INPUT_TREASURY!C61</f>
        <v>2.3610485966229708</v>
      </c>
      <c r="D61" s="7">
        <f>INPUT_TREASURY!D61</f>
        <v>4.2594515659218901</v>
      </c>
      <c r="E61" s="7">
        <f t="shared" si="3"/>
        <v>425.94515659218899</v>
      </c>
      <c r="F61" s="7">
        <f t="shared" si="4"/>
        <v>851.89031318437799</v>
      </c>
      <c r="G61" s="7">
        <f>E61/CONFIG!B4*100</f>
        <v>0.85189031318437802</v>
      </c>
      <c r="H61" s="7">
        <f>F61/CONFIG!B4*100</f>
        <v>1.703780626368756</v>
      </c>
      <c r="I61" s="7">
        <f t="shared" si="5"/>
        <v>64.073804963328683</v>
      </c>
      <c r="J61" t="str">
        <f>IF(H61&gt;=CONFIG!B15,"Đỏ",IF(H61&gt;=CONFIG!B14,"Vàng","Xanh"))</f>
        <v>Xanh</v>
      </c>
    </row>
    <row r="62" spans="1:10">
      <c r="A62" s="5">
        <f>INPUT_TREASURY!A62</f>
        <v>45991</v>
      </c>
      <c r="B62" s="7">
        <f>INPUT_TREASURY!B62</f>
        <v>50000</v>
      </c>
      <c r="C62" s="7">
        <f>INPUT_TREASURY!C62</f>
        <v>2.3880783076540268</v>
      </c>
      <c r="D62" s="7">
        <f>INPUT_TREASURY!D62</f>
        <v>4.3283182564689939</v>
      </c>
      <c r="E62" s="7">
        <f t="shared" si="3"/>
        <v>432.8318256468994</v>
      </c>
      <c r="F62" s="7">
        <f t="shared" si="4"/>
        <v>865.66365129379881</v>
      </c>
      <c r="G62" s="7">
        <f>E62/CONFIG!B4*100</f>
        <v>0.86566365129379874</v>
      </c>
      <c r="H62" s="7">
        <f>F62/CONFIG!B4*100</f>
        <v>1.7313273025875975</v>
      </c>
      <c r="I62" s="7">
        <f t="shared" si="5"/>
        <v>63.582100512891813</v>
      </c>
      <c r="J62" t="str">
        <f>IF(H62&gt;=CONFIG!B15,"Đỏ",IF(H62&gt;=CONFIG!B14,"Vàng","Xanh"))</f>
        <v>Xanh</v>
      </c>
    </row>
    <row r="63" spans="1:10">
      <c r="A63" s="5">
        <f>INPUT_TREASURY!A63</f>
        <v>46022</v>
      </c>
      <c r="B63" s="7">
        <f>INPUT_TREASURY!B63</f>
        <v>50000</v>
      </c>
      <c r="C63" s="7">
        <f>INPUT_TREASURY!C63</f>
        <v>2.4106126530444265</v>
      </c>
      <c r="D63" s="7">
        <f>INPUT_TREASURY!D63</f>
        <v>4.4008986681358113</v>
      </c>
      <c r="E63" s="7">
        <f t="shared" si="3"/>
        <v>440.08986681358112</v>
      </c>
      <c r="F63" s="7">
        <f t="shared" si="4"/>
        <v>880.17973362716225</v>
      </c>
      <c r="G63" s="7">
        <f>E63/CONFIG!B4*100</f>
        <v>0.88017973362716218</v>
      </c>
      <c r="H63" s="7">
        <f>F63/CONFIG!B4*100</f>
        <v>1.7603594672543244</v>
      </c>
      <c r="I63" s="7">
        <f t="shared" si="5"/>
        <v>63.111504103101353</v>
      </c>
      <c r="J63" t="str">
        <f>IF(H63&gt;=CONFIG!B15,"Đỏ",IF(H63&gt;=CONFIG!B14,"Vàng","Xanh"))</f>
        <v>Xanh</v>
      </c>
    </row>
    <row r="64" spans="1:10">
      <c r="A64" s="5">
        <f>INPUT_TREASURY!A64</f>
        <v>46053</v>
      </c>
      <c r="B64" s="7">
        <f>INPUT_TREASURY!B64</f>
        <v>50000</v>
      </c>
      <c r="C64" s="7">
        <f>INPUT_TREASURY!C64</f>
        <v>2.4282999918711585</v>
      </c>
      <c r="D64" s="7">
        <f>INPUT_TREASURY!D64</f>
        <v>4.4764676014408593</v>
      </c>
      <c r="E64" s="7">
        <f t="shared" si="3"/>
        <v>447.64676014408593</v>
      </c>
      <c r="F64" s="7">
        <f t="shared" si="4"/>
        <v>895.29352028817186</v>
      </c>
      <c r="G64" s="7">
        <f>E64/CONFIG!B4*100</f>
        <v>0.89529352028817188</v>
      </c>
      <c r="H64" s="7">
        <f>F64/CONFIG!B4*100</f>
        <v>1.7905870405763438</v>
      </c>
      <c r="I64" s="7">
        <f t="shared" si="5"/>
        <v>62.667729659267295</v>
      </c>
      <c r="J64" t="str">
        <f>IF(H64&gt;=CONFIG!B15,"Đỏ",IF(H64&gt;=CONFIG!B14,"Vàng","Xanh"))</f>
        <v>Xanh</v>
      </c>
    </row>
    <row r="65" spans="1:10">
      <c r="A65" s="5">
        <f>INPUT_TREASURY!A65</f>
        <v>46081</v>
      </c>
      <c r="B65" s="7">
        <f>INPUT_TREASURY!B65</f>
        <v>50000</v>
      </c>
      <c r="C65" s="7">
        <f>INPUT_TREASURY!C65</f>
        <v>2.4408643191275163</v>
      </c>
      <c r="D65" s="7">
        <f>INPUT_TREASURY!D65</f>
        <v>4.5542699965823239</v>
      </c>
      <c r="E65" s="7">
        <f t="shared" si="3"/>
        <v>455.42699965823238</v>
      </c>
      <c r="F65" s="7">
        <f t="shared" si="4"/>
        <v>910.85399931646475</v>
      </c>
      <c r="G65" s="7">
        <f>E65/CONFIG!B4*100</f>
        <v>0.91085399931646482</v>
      </c>
      <c r="H65" s="7">
        <f>F65/CONFIG!B4*100</f>
        <v>1.8217079986329296</v>
      </c>
      <c r="I65" s="7">
        <f t="shared" si="5"/>
        <v>62.25600546065057</v>
      </c>
      <c r="J65" t="str">
        <f>IF(H65&gt;=CONFIG!B15,"Đỏ",IF(H65&gt;=CONFIG!B14,"Vàng","Xanh"))</f>
        <v>Xanh</v>
      </c>
    </row>
    <row r="66" spans="1:10">
      <c r="A66" s="5">
        <f>INPUT_TREASURY!A66</f>
        <v>46112</v>
      </c>
      <c r="B66" s="7">
        <f>INPUT_TREASURY!B66</f>
        <v>50000</v>
      </c>
      <c r="C66" s="7">
        <f>INPUT_TREASURY!C66</f>
        <v>2.4481095726889119</v>
      </c>
      <c r="D66" s="7">
        <f>INPUT_TREASURY!D66</f>
        <v>4.6335284777460028</v>
      </c>
      <c r="E66" s="7">
        <f t="shared" si="3"/>
        <v>463.35284777460026</v>
      </c>
      <c r="F66" s="7">
        <f t="shared" si="4"/>
        <v>926.70569554920053</v>
      </c>
      <c r="G66" s="7">
        <f>E66/CONFIG!B4*100</f>
        <v>0.92670569554920057</v>
      </c>
      <c r="H66" s="7">
        <f>F66/CONFIG!B4*100</f>
        <v>1.8534113910984011</v>
      </c>
      <c r="I66" s="7">
        <f t="shared" si="5"/>
        <v>61.881009507504686</v>
      </c>
      <c r="J66" t="str">
        <f>IF(H66&gt;=CONFIG!B15,"Đỏ",IF(H66&gt;=CONFIG!B14,"Vàng","Xanh"))</f>
        <v>Xanh</v>
      </c>
    </row>
    <row r="67" spans="1:10">
      <c r="A67" s="5">
        <f>INPUT_TREASURY!A67</f>
        <v>46142</v>
      </c>
      <c r="B67" s="7">
        <f>INPUT_TREASURY!B67</f>
        <v>50000</v>
      </c>
      <c r="C67" s="7">
        <f>INPUT_TREASURY!C67</f>
        <v>2.4499226927967572</v>
      </c>
      <c r="D67" s="7">
        <f>INPUT_TREASURY!D67</f>
        <v>4.7134511203874796</v>
      </c>
      <c r="E67" s="7">
        <f t="shared" si="3"/>
        <v>471.34511203874797</v>
      </c>
      <c r="F67" s="7">
        <f t="shared" si="4"/>
        <v>942.69022407749594</v>
      </c>
      <c r="G67" s="7">
        <f>E67/CONFIG!B4*100</f>
        <v>0.94269022407749603</v>
      </c>
      <c r="H67" s="7">
        <f>F67/CONFIG!B4*100</f>
        <v>1.8853804481549921</v>
      </c>
      <c r="I67" s="7">
        <f t="shared" si="5"/>
        <v>61.54681397607601</v>
      </c>
      <c r="J67" t="str">
        <f>IF(H67&gt;=CONFIG!B15,"Đỏ",IF(H67&gt;=CONFIG!B14,"Vàng","Xanh"))</f>
        <v>Xanh</v>
      </c>
    </row>
  </sheetData>
  <mergeCells count="1">
    <mergeCell ref="A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8"/>
  <sheetViews>
    <sheetView workbookViewId="0">
      <selection sqref="A1:F1"/>
    </sheetView>
  </sheetViews>
  <sheetFormatPr defaultRowHeight="14.25"/>
  <cols>
    <col min="1" max="1" width="10.125" bestFit="1" customWidth="1"/>
    <col min="2" max="2" width="16.25" customWidth="1"/>
    <col min="3" max="3" width="12.25" customWidth="1"/>
    <col min="4" max="4" width="6.25" customWidth="1"/>
    <col min="5" max="5" width="5" bestFit="1" customWidth="1"/>
    <col min="6" max="6" width="58" customWidth="1"/>
  </cols>
  <sheetData>
    <row r="1" spans="1:6" ht="27.95" customHeight="1">
      <c r="A1" s="10" t="s">
        <v>156</v>
      </c>
      <c r="B1" s="10" t="s">
        <v>156</v>
      </c>
      <c r="C1" s="10" t="s">
        <v>156</v>
      </c>
      <c r="D1" s="10" t="s">
        <v>156</v>
      </c>
      <c r="E1" s="10" t="s">
        <v>156</v>
      </c>
      <c r="F1" s="10" t="s">
        <v>156</v>
      </c>
    </row>
    <row r="3" spans="1:6">
      <c r="A3" s="3" t="s">
        <v>75</v>
      </c>
      <c r="B3" s="3" t="s">
        <v>157</v>
      </c>
      <c r="C3" s="3" t="s">
        <v>158</v>
      </c>
      <c r="D3" s="3" t="s">
        <v>159</v>
      </c>
      <c r="E3" s="3" t="s">
        <v>160</v>
      </c>
      <c r="F3" s="3" t="s">
        <v>161</v>
      </c>
    </row>
    <row r="4" spans="1:6">
      <c r="A4" s="5">
        <f>PROC_MACRO!A67</f>
        <v>46142</v>
      </c>
      <c r="B4" t="str">
        <f>"VNIBOR spike"</f>
        <v>VNIBOR spike</v>
      </c>
      <c r="C4" s="4">
        <f>PROC_MACRO!D67</f>
        <v>2.2684259360396619</v>
      </c>
      <c r="D4" t="str">
        <f>IF(C4&gt;=CONFIG!B7,"Breach",IF(C4&gt;=CONFIG!B6,"Watch","Normal"))</f>
        <v>Normal</v>
      </c>
      <c r="E4" t="str">
        <f>IF(C4&gt;=CONFIG!B7,"Đỏ",IF(C4&gt;=CONFIG!B6,"Vàng","Xanh"))</f>
        <v>Xanh</v>
      </c>
      <c r="F4" t="str">
        <f>"Lãi suất ON cao gây áp lực chi phí vốn và duration."</f>
        <v>Lãi suất ON cao gây áp lực chi phí vốn và duration.</v>
      </c>
    </row>
    <row r="5" spans="1:6">
      <c r="A5" s="5">
        <f>PROC_MACRO!A67</f>
        <v>46142</v>
      </c>
      <c r="B5" t="str">
        <f>"FX pressure"</f>
        <v>FX pressure</v>
      </c>
      <c r="C5" s="4">
        <f>ABS(PROC_MACRO!G67)</f>
        <v>2.1313677823031618E-2</v>
      </c>
      <c r="D5" t="str">
        <f>IF(C5&gt;=CONFIG!B9,"Breach",IF(C5&gt;=CONFIG!B8,"Watch","Normal"))</f>
        <v>Normal</v>
      </c>
      <c r="E5" t="str">
        <f>IF(C5&gt;=CONFIG!B9,"Đỏ",IF(C5&gt;=CONFIG!B8,"Vàng","Xanh"))</f>
        <v>Xanh</v>
      </c>
      <c r="F5" t="str">
        <f>"Biến động USD/VND theo tháng."</f>
        <v>Biến động USD/VND theo tháng.</v>
      </c>
    </row>
    <row r="6" spans="1:6">
      <c r="A6" s="5">
        <f>PROC_MACRO!A67</f>
        <v>46142</v>
      </c>
      <c r="B6" t="str">
        <f>"LDR high"</f>
        <v>LDR high</v>
      </c>
      <c r="C6" s="4">
        <f>PROC_ABBANK!F67</f>
        <v>95.561516447502854</v>
      </c>
      <c r="D6" t="str">
        <f>IF(C6&gt;=CONFIG!B11,"Breach",IF(C6&gt;=CONFIG!B10,"Watch","Normal"))</f>
        <v>Breach</v>
      </c>
      <c r="E6" t="str">
        <f>IF(C6&gt;=CONFIG!B11,"Đỏ",IF(C6&gt;=CONFIG!B10,"Vàng","Xanh"))</f>
        <v>Đỏ</v>
      </c>
      <c r="F6" t="str">
        <f>"LDR cao làm giảm dư địa tăng trưởng tín dụng."</f>
        <v>LDR cao làm giảm dư địa tăng trưởng tín dụng.</v>
      </c>
    </row>
    <row r="7" spans="1:6">
      <c r="A7" s="5">
        <f>PROC_MACRO!A67</f>
        <v>46142</v>
      </c>
      <c r="B7" t="str">
        <f>"NPL risk"</f>
        <v>NPL risk</v>
      </c>
      <c r="C7" s="4">
        <f>PROC_ABBANK!G67</f>
        <v>2.3499226927967571</v>
      </c>
      <c r="D7" t="str">
        <f>IF(C7&gt;=CONFIG!B13,"Breach",IF(C7&gt;=CONFIG!B12,"Watch","Normal"))</f>
        <v>Normal</v>
      </c>
      <c r="E7" t="str">
        <f>IF(C7&gt;=CONFIG!B13,"Đỏ",IF(C7&gt;=CONFIG!B12,"Vàng","Xanh"))</f>
        <v>Xanh</v>
      </c>
      <c r="F7" t="str">
        <f>"NPL tăng làm tăng áp lực trích lập."</f>
        <v>NPL tăng làm tăng áp lực trích lập.</v>
      </c>
    </row>
    <row r="8" spans="1:6">
      <c r="A8" s="5">
        <f>PROC_MACRO!A67</f>
        <v>46142</v>
      </c>
      <c r="B8" t="str">
        <f>"Treasury stress loss"</f>
        <v>Treasury stress loss</v>
      </c>
      <c r="C8" s="4">
        <f>PROC_TREASURY!H67</f>
        <v>1.8853804481549921</v>
      </c>
      <c r="D8" t="str">
        <f>IF(C8&gt;=CONFIG!B15,"Breach",IF(C8&gt;=CONFIG!B14,"Watch","Normal"))</f>
        <v>Normal</v>
      </c>
      <c r="E8" t="str">
        <f>IF(C8&gt;=CONFIG!B15,"Đỏ",IF(C8&gt;=CONFIG!B14,"Vàng","Xanh"))</f>
        <v>Xanh</v>
      </c>
      <c r="F8" t="str">
        <f>"Loss 200bps so với vốn Treasury."</f>
        <v>Loss 200bps so với vốn Treasury.</v>
      </c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"/>
  <sheetViews>
    <sheetView workbookViewId="0">
      <selection activeCell="C16" sqref="C16"/>
    </sheetView>
  </sheetViews>
  <sheetFormatPr defaultRowHeight="14.25"/>
  <cols>
    <col min="1" max="1" width="9.25" customWidth="1"/>
    <col min="2" max="2" width="18.5" customWidth="1"/>
    <col min="3" max="3" width="63.625" customWidth="1"/>
    <col min="4" max="4" width="15.5" customWidth="1"/>
    <col min="5" max="5" width="64.625" customWidth="1"/>
  </cols>
  <sheetData>
    <row r="1" spans="1:5" ht="27.95" customHeight="1">
      <c r="A1" s="10" t="s">
        <v>162</v>
      </c>
      <c r="B1" s="10" t="s">
        <v>162</v>
      </c>
      <c r="C1" s="10" t="s">
        <v>162</v>
      </c>
      <c r="D1" s="10" t="s">
        <v>162</v>
      </c>
      <c r="E1" s="10" t="s">
        <v>162</v>
      </c>
    </row>
    <row r="3" spans="1:5">
      <c r="A3" s="3" t="s">
        <v>163</v>
      </c>
      <c r="B3" s="3" t="s">
        <v>164</v>
      </c>
      <c r="C3" s="3" t="s">
        <v>165</v>
      </c>
      <c r="D3" s="3" t="s">
        <v>166</v>
      </c>
      <c r="E3" s="3" t="s">
        <v>167</v>
      </c>
    </row>
    <row r="4" spans="1:5" ht="21" customHeight="1">
      <c r="A4" s="8">
        <v>1</v>
      </c>
      <c r="B4" s="2" t="s">
        <v>168</v>
      </c>
      <c r="C4" s="2" t="s">
        <v>169</v>
      </c>
      <c r="D4" s="2" t="s">
        <v>20</v>
      </c>
      <c r="E4" s="2" t="s">
        <v>170</v>
      </c>
    </row>
    <row r="5" spans="1:5">
      <c r="A5" s="8">
        <v>2</v>
      </c>
      <c r="B5" s="2" t="s">
        <v>171</v>
      </c>
      <c r="C5" s="2" t="s">
        <v>172</v>
      </c>
      <c r="D5" s="2" t="s">
        <v>20</v>
      </c>
      <c r="E5" s="2" t="s">
        <v>173</v>
      </c>
    </row>
    <row r="6" spans="1:5">
      <c r="A6" s="8">
        <v>3</v>
      </c>
      <c r="B6" s="2" t="s">
        <v>174</v>
      </c>
      <c r="C6" s="2" t="s">
        <v>175</v>
      </c>
      <c r="D6" s="2" t="s">
        <v>176</v>
      </c>
      <c r="E6" s="2" t="s">
        <v>177</v>
      </c>
    </row>
    <row r="7" spans="1:5">
      <c r="A7" s="8">
        <v>4</v>
      </c>
      <c r="B7" s="2" t="s">
        <v>178</v>
      </c>
      <c r="C7" s="2" t="s">
        <v>179</v>
      </c>
      <c r="D7" s="2" t="s">
        <v>180</v>
      </c>
      <c r="E7" s="2" t="s">
        <v>181</v>
      </c>
    </row>
    <row r="8" spans="1:5">
      <c r="A8" s="8">
        <v>5</v>
      </c>
      <c r="B8" s="2" t="s">
        <v>182</v>
      </c>
      <c r="C8" s="2" t="s">
        <v>183</v>
      </c>
      <c r="D8" s="2" t="s">
        <v>184</v>
      </c>
      <c r="E8" s="2" t="s">
        <v>185</v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1"/>
  <sheetViews>
    <sheetView workbookViewId="0">
      <selection sqref="A1:J1"/>
    </sheetView>
  </sheetViews>
  <sheetFormatPr defaultRowHeight="14.25"/>
  <cols>
    <col min="1" max="1" width="14.125" customWidth="1"/>
    <col min="2" max="2" width="15.25" customWidth="1"/>
    <col min="3" max="3" width="13.375" customWidth="1"/>
    <col min="4" max="4" width="10" customWidth="1"/>
    <col min="5" max="5" width="55" customWidth="1"/>
    <col min="7" max="7" width="13.375" customWidth="1"/>
    <col min="9" max="9" width="45" customWidth="1"/>
    <col min="10" max="10" width="20" customWidth="1"/>
  </cols>
  <sheetData>
    <row r="1" spans="1:10" ht="27.95" customHeight="1">
      <c r="A1" s="10" t="s">
        <v>186</v>
      </c>
      <c r="B1" s="10" t="s">
        <v>186</v>
      </c>
      <c r="C1" s="10" t="s">
        <v>186</v>
      </c>
      <c r="D1" s="10" t="s">
        <v>186</v>
      </c>
      <c r="E1" s="10" t="s">
        <v>186</v>
      </c>
      <c r="F1" s="10" t="s">
        <v>186</v>
      </c>
      <c r="G1" s="10" t="s">
        <v>186</v>
      </c>
      <c r="H1" s="10" t="s">
        <v>186</v>
      </c>
      <c r="I1" s="10" t="s">
        <v>186</v>
      </c>
      <c r="J1" s="10" t="s">
        <v>186</v>
      </c>
    </row>
    <row r="3" spans="1:10" ht="21.95" customHeight="1">
      <c r="A3" s="3" t="s">
        <v>187</v>
      </c>
      <c r="B3" s="3" t="s">
        <v>188</v>
      </c>
      <c r="C3" s="3" t="s">
        <v>189</v>
      </c>
      <c r="D3" s="3" t="s">
        <v>190</v>
      </c>
      <c r="E3" s="3" t="s">
        <v>191</v>
      </c>
      <c r="G3" s="11" t="s">
        <v>192</v>
      </c>
      <c r="H3" s="11"/>
      <c r="I3" s="11"/>
      <c r="J3" s="11"/>
    </row>
    <row r="4" spans="1:10">
      <c r="A4" s="2" t="s">
        <v>193</v>
      </c>
      <c r="B4" s="2" t="s">
        <v>194</v>
      </c>
      <c r="C4" s="9">
        <f>PROC_MACRO!K67</f>
        <v>54.404088449796355</v>
      </c>
      <c r="D4" s="2" t="str">
        <f>IF(C4&gt;=70,"Xanh",IF(C4&gt;=50,"Vàng","Đỏ"))</f>
        <v>Vàng</v>
      </c>
      <c r="E4" s="2" t="s">
        <v>195</v>
      </c>
      <c r="G4" s="3" t="s">
        <v>196</v>
      </c>
      <c r="H4" s="3" t="s">
        <v>197</v>
      </c>
      <c r="I4" s="3" t="s">
        <v>198</v>
      </c>
      <c r="J4" s="3" t="s">
        <v>16</v>
      </c>
    </row>
    <row r="5" spans="1:10">
      <c r="A5" s="2" t="s">
        <v>193</v>
      </c>
      <c r="B5" s="2" t="s">
        <v>199</v>
      </c>
      <c r="C5" s="9">
        <f>PROC_MACRO!B67</f>
        <v>5.0097812382063047</v>
      </c>
      <c r="D5" s="2" t="str">
        <f>IF(C5&gt;=4.5,"Đỏ",IF(C5&gt;=3.5,"Vàng","Xanh"))</f>
        <v>Đỏ</v>
      </c>
      <c r="E5" s="2" t="s">
        <v>200</v>
      </c>
      <c r="G5" s="2" t="str">
        <f>PROC_SIGNAL!B4</f>
        <v>VNIBOR spike</v>
      </c>
      <c r="H5" s="2" t="str">
        <f>PROC_SIGNAL!E4</f>
        <v>Xanh</v>
      </c>
      <c r="I5" s="2" t="str">
        <f>INDEX(PROC_RECOMMENDATION!C:C,MATCH(PROC_SIGNAL!B4,PROC_RECOMMENDATION!B:B,0))</f>
        <v>Giữ duration ngắn; hạn chế tăng vị thế bond dài hạn</v>
      </c>
      <c r="J5" s="2" t="str">
        <f>INDEX(PROC_RECOMMENDATION!D:D,MATCH(PROC_SIGNAL!B4,PROC_RECOMMENDATION!B:B,0))</f>
        <v>Treasury</v>
      </c>
    </row>
    <row r="6" spans="1:10" ht="28.5">
      <c r="A6" s="2" t="s">
        <v>193</v>
      </c>
      <c r="B6" s="2" t="s">
        <v>201</v>
      </c>
      <c r="C6" s="9">
        <f>PROC_MACRO!D67</f>
        <v>2.2684259360396619</v>
      </c>
      <c r="D6" s="2" t="str">
        <f>IF(C6&gt;=CONFIG!B7,"Đỏ",IF(C6&gt;=CONFIG!B6,"Vàng","Xanh"))</f>
        <v>Xanh</v>
      </c>
      <c r="E6" s="2" t="s">
        <v>202</v>
      </c>
      <c r="G6" s="2" t="str">
        <f>PROC_SIGNAL!B5</f>
        <v>FX pressure</v>
      </c>
      <c r="H6" s="2" t="str">
        <f>PROC_SIGNAL!E5</f>
        <v>Xanh</v>
      </c>
      <c r="I6" s="2" t="str">
        <f>INDEX(PROC_RECOMMENDATION!C:C,MATCH(PROC_SIGNAL!B5,PROC_RECOMMENDATION!B:B,0))</f>
        <v>Theo dõi trạng thái USD; cân nhắc hedge/giảm trạng thái mở</v>
      </c>
      <c r="J6" s="2" t="str">
        <f>INDEX(PROC_RECOMMENDATION!D:D,MATCH(PROC_SIGNAL!B5,PROC_RECOMMENDATION!B:B,0))</f>
        <v>Treasury</v>
      </c>
    </row>
    <row r="7" spans="1:10" ht="28.5">
      <c r="A7" s="2" t="s">
        <v>203</v>
      </c>
      <c r="B7" s="2" t="s">
        <v>204</v>
      </c>
      <c r="C7" s="9">
        <f>PROC_ABBANK!K67</f>
        <v>67.240928692066717</v>
      </c>
      <c r="D7" s="2" t="str">
        <f>IF(C7&gt;=70,"Xanh",IF(C7&gt;=50,"Vàng","Đỏ"))</f>
        <v>Vàng</v>
      </c>
      <c r="E7" s="2" t="s">
        <v>205</v>
      </c>
      <c r="G7" s="2" t="str">
        <f>PROC_SIGNAL!B6</f>
        <v>LDR high</v>
      </c>
      <c r="H7" s="2" t="str">
        <f>PROC_SIGNAL!E6</f>
        <v>Đỏ</v>
      </c>
      <c r="I7" s="2" t="str">
        <f>INDEX(PROC_RECOMMENDATION!C:C,MATCH(PROC_SIGNAL!B6,PROC_RECOMMENDATION!B:B,0))</f>
        <v>Kiểm soát tăng trưởng tín dụng; ưu tiên huy động CASA/kỳ hạn bền vững</v>
      </c>
      <c r="J7" s="2" t="str">
        <f>INDEX(PROC_RECOMMENDATION!D:D,MATCH(PROC_SIGNAL!B6,PROC_RECOMMENDATION!B:B,0))</f>
        <v>Finance/ALM</v>
      </c>
    </row>
    <row r="8" spans="1:10" ht="28.5">
      <c r="A8" s="2" t="s">
        <v>203</v>
      </c>
      <c r="B8" s="2" t="s">
        <v>206</v>
      </c>
      <c r="C8" s="9">
        <f>PROC_ABBANK!F67</f>
        <v>95.561516447502854</v>
      </c>
      <c r="D8" s="2" t="str">
        <f>IF(C8&gt;=CONFIG!B11,"Đỏ",IF(C8&gt;=CONFIG!B10,"Vàng","Xanh"))</f>
        <v>Đỏ</v>
      </c>
      <c r="E8" s="2" t="s">
        <v>207</v>
      </c>
      <c r="G8" s="2" t="str">
        <f>PROC_SIGNAL!B7</f>
        <v>NPL risk</v>
      </c>
      <c r="H8" s="2" t="str">
        <f>PROC_SIGNAL!E7</f>
        <v>Xanh</v>
      </c>
      <c r="I8" s="2" t="str">
        <f>INDEX(PROC_RECOMMENDATION!C:C,MATCH(PROC_SIGNAL!B7,PROC_RECOMMENDATION!B:B,0))</f>
        <v>Rà soát phân khúc rủi ro; tăng cảnh báo sớm tín dụng</v>
      </c>
      <c r="J8" s="2" t="str">
        <f>INDEX(PROC_RECOMMENDATION!D:D,MATCH(PROC_SIGNAL!B7,PROC_RECOMMENDATION!B:B,0))</f>
        <v>Risk/Business</v>
      </c>
    </row>
    <row r="9" spans="1:10" ht="28.5">
      <c r="A9" s="2" t="s">
        <v>203</v>
      </c>
      <c r="B9" s="2" t="s">
        <v>208</v>
      </c>
      <c r="C9" s="9">
        <f>PROC_ABBANK!G67</f>
        <v>2.3499226927967571</v>
      </c>
      <c r="D9" s="2" t="str">
        <f>IF(C9&gt;=CONFIG!B13,"Đỏ",IF(C9&gt;=CONFIG!B12,"Vàng","Xanh"))</f>
        <v>Xanh</v>
      </c>
      <c r="E9" s="2" t="s">
        <v>209</v>
      </c>
      <c r="G9" s="2" t="str">
        <f>PROC_SIGNAL!B8</f>
        <v>Treasury stress loss</v>
      </c>
      <c r="H9" s="2" t="str">
        <f>PROC_SIGNAL!E8</f>
        <v>Xanh</v>
      </c>
      <c r="I9" s="2" t="str">
        <f>INDEX(PROC_RECOMMENDATION!C:C,MATCH(PROC_SIGNAL!B8,PROC_RECOMMENDATION!B:B,0))</f>
        <v>Giảm DV01 hoặc đặt stop-loss theo vốn Treasury</v>
      </c>
      <c r="J9" s="2" t="str">
        <f>INDEX(PROC_RECOMMENDATION!D:D,MATCH(PROC_SIGNAL!B8,PROC_RECOMMENDATION!B:B,0))</f>
        <v>Treasury/Risk</v>
      </c>
    </row>
    <row r="10" spans="1:10">
      <c r="A10" s="2" t="s">
        <v>20</v>
      </c>
      <c r="B10" s="2" t="s">
        <v>210</v>
      </c>
      <c r="C10" s="9">
        <f>PROC_TREASURY!D67</f>
        <v>4.7134511203874796</v>
      </c>
      <c r="D10" s="2" t="str">
        <f>IF(C10&gt;=6,"Vàng","Xanh")</f>
        <v>Xanh</v>
      </c>
      <c r="E10" s="2" t="s">
        <v>211</v>
      </c>
    </row>
    <row r="11" spans="1:10" ht="28.5">
      <c r="A11" s="2" t="s">
        <v>20</v>
      </c>
      <c r="B11" s="2" t="s">
        <v>212</v>
      </c>
      <c r="C11" s="9">
        <f>PROC_TREASURY!H67</f>
        <v>1.8853804481549921</v>
      </c>
      <c r="D11" s="2" t="str">
        <f>IF(C11&gt;=CONFIG!B15,"Đỏ",IF(C11&gt;=CONFIG!B14,"Vàng","Xanh"))</f>
        <v>Xanh</v>
      </c>
      <c r="E11" s="2" t="s">
        <v>213</v>
      </c>
    </row>
  </sheetData>
  <mergeCells count="2">
    <mergeCell ref="A1:J1"/>
    <mergeCell ref="G3:J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5"/>
  <sheetViews>
    <sheetView workbookViewId="0">
      <selection activeCell="K13" sqref="K13"/>
    </sheetView>
  </sheetViews>
  <sheetFormatPr defaultRowHeight="14.25"/>
  <cols>
    <col min="1" max="1" width="10.125" bestFit="1" customWidth="1"/>
    <col min="2" max="2" width="4.375" bestFit="1" customWidth="1"/>
    <col min="3" max="3" width="8.375" bestFit="1" customWidth="1"/>
    <col min="4" max="4" width="10.5" customWidth="1"/>
    <col min="5" max="5" width="18.25" customWidth="1"/>
    <col min="6" max="6" width="13.625" customWidth="1"/>
  </cols>
  <sheetData>
    <row r="1" spans="1:8" ht="27.95" customHeight="1">
      <c r="A1" s="10" t="s">
        <v>214</v>
      </c>
      <c r="B1" s="10" t="s">
        <v>214</v>
      </c>
      <c r="C1" s="10" t="s">
        <v>214</v>
      </c>
      <c r="D1" s="10" t="s">
        <v>214</v>
      </c>
      <c r="E1" s="10" t="s">
        <v>214</v>
      </c>
      <c r="F1" s="10" t="s">
        <v>214</v>
      </c>
      <c r="G1" s="10" t="s">
        <v>214</v>
      </c>
      <c r="H1" s="10" t="s">
        <v>214</v>
      </c>
    </row>
    <row r="3" spans="1:8" ht="25.5">
      <c r="A3" s="3" t="s">
        <v>75</v>
      </c>
      <c r="B3" s="3" t="s">
        <v>199</v>
      </c>
      <c r="C3" s="3" t="s">
        <v>215</v>
      </c>
      <c r="D3" s="3" t="s">
        <v>201</v>
      </c>
      <c r="E3" s="3" t="s">
        <v>216</v>
      </c>
      <c r="F3" s="3" t="s">
        <v>194</v>
      </c>
    </row>
    <row r="4" spans="1:8">
      <c r="A4" s="5">
        <f>PROC_MACRO!A56</f>
        <v>45808</v>
      </c>
      <c r="B4" s="4">
        <f>PROC_MACRO!B56</f>
        <v>3.0821703167438086</v>
      </c>
      <c r="C4" s="4">
        <f>PROC_MACRO!C56</f>
        <v>24627.887803778267</v>
      </c>
      <c r="D4" s="4">
        <f>PROC_MACRO!D56</f>
        <v>4.4625717011582866</v>
      </c>
      <c r="E4" s="4">
        <f>PROC_MACRO!H56</f>
        <v>-0.27650834267526569</v>
      </c>
      <c r="F4" s="4">
        <f>PROC_MACRO!K56</f>
        <v>78.99513913559521</v>
      </c>
    </row>
    <row r="5" spans="1:8">
      <c r="A5" s="5">
        <f>PROC_MACRO!A57</f>
        <v>45838</v>
      </c>
      <c r="B5" s="4">
        <f>PROC_MACRO!B57</f>
        <v>3.2521778338374205</v>
      </c>
      <c r="C5" s="4">
        <f>PROC_MACRO!C57</f>
        <v>24623.390210412432</v>
      </c>
      <c r="D5" s="4">
        <f>PROC_MACRO!D57</f>
        <v>4.2805851783096207</v>
      </c>
      <c r="E5" s="4">
        <f>PROC_MACRO!H57</f>
        <v>-0.31736327714626711</v>
      </c>
      <c r="F5" s="4">
        <f>PROC_MACRO!K57</f>
        <v>78.917820113898898</v>
      </c>
    </row>
    <row r="6" spans="1:8">
      <c r="A6" s="5">
        <f>PROC_MACRO!A58</f>
        <v>45869</v>
      </c>
      <c r="B6" s="4">
        <f>PROC_MACRO!B58</f>
        <v>3.4288183025215035</v>
      </c>
      <c r="C6" s="4">
        <f>PROC_MACRO!C58</f>
        <v>24615.029621310438</v>
      </c>
      <c r="D6" s="4">
        <f>PROC_MACRO!D58</f>
        <v>4.0769658793384593</v>
      </c>
      <c r="E6" s="4">
        <f>PROC_MACRO!H58</f>
        <v>-0.34649890232363134</v>
      </c>
      <c r="F6" s="4">
        <f>PROC_MACRO!K58</f>
        <v>78.847207672714916</v>
      </c>
    </row>
    <row r="7" spans="1:8">
      <c r="A7" s="5">
        <f>PROC_MACRO!A59</f>
        <v>45900</v>
      </c>
      <c r="B7" s="4">
        <f>PROC_MACRO!B59</f>
        <v>3.6102832084000731</v>
      </c>
      <c r="C7" s="4">
        <f>PROC_MACRO!C59</f>
        <v>24603.813716999128</v>
      </c>
      <c r="D7" s="4">
        <f>PROC_MACRO!D59</f>
        <v>3.857356815195125</v>
      </c>
      <c r="E7" s="4">
        <f>PROC_MACRO!H59</f>
        <v>-0.36391175241405094</v>
      </c>
      <c r="F7" s="4">
        <f>PROC_MACRO!K59</f>
        <v>66.544956292243498</v>
      </c>
    </row>
    <row r="8" spans="1:8">
      <c r="A8" s="5">
        <f>PROC_MACRO!A60</f>
        <v>45930</v>
      </c>
      <c r="B8" s="4">
        <f>PROC_MACRO!B60</f>
        <v>3.7947045373756136</v>
      </c>
      <c r="C8" s="4">
        <f>PROC_MACRO!C60</f>
        <v>24590.829308888686</v>
      </c>
      <c r="D8" s="4">
        <f>PROC_MACRO!D60</f>
        <v>3.6278441297766491</v>
      </c>
      <c r="E8" s="4">
        <f>PROC_MACRO!H60</f>
        <v>-0.36972595148622922</v>
      </c>
      <c r="F8" s="4">
        <f>PROC_MACRO!K60</f>
        <v>66.512517156205647</v>
      </c>
    </row>
    <row r="9" spans="1:8">
      <c r="A9" s="5">
        <f>PROC_MACRO!A61</f>
        <v>45961</v>
      </c>
      <c r="B9" s="4">
        <f>PROC_MACRO!B61</f>
        <v>3.9801778138350419</v>
      </c>
      <c r="C9" s="4">
        <f>PROC_MACRO!C61</f>
        <v>24577.212219884546</v>
      </c>
      <c r="D9" s="4">
        <f>PROC_MACRO!D61</f>
        <v>3.3947884313534669</v>
      </c>
      <c r="E9" s="4">
        <f>PROC_MACRO!H61</f>
        <v>-0.36418951126207588</v>
      </c>
      <c r="F9" s="4">
        <f>PROC_MACRO!K61</f>
        <v>66.500814013838593</v>
      </c>
    </row>
    <row r="10" spans="1:8">
      <c r="A10" s="5">
        <f>PROC_MACRO!A62</f>
        <v>45991</v>
      </c>
      <c r="B10" s="4">
        <f>PROC_MACRO!B62</f>
        <v>4.1647855885149259</v>
      </c>
      <c r="C10" s="4">
        <f>PROC_MACRO!C62</f>
        <v>24564.115806717422</v>
      </c>
      <c r="D10" s="4">
        <f>PROC_MACRO!D62</f>
        <v>3.1646485176175578</v>
      </c>
      <c r="E10" s="4">
        <f>PROC_MACRO!H62</f>
        <v>-0.34766932501169556</v>
      </c>
      <c r="F10" s="4">
        <f>PROC_MACRO!K62</f>
        <v>66.510209340568011</v>
      </c>
    </row>
    <row r="11" spans="1:8">
      <c r="A11" s="5">
        <f>PROC_MACRO!A63</f>
        <v>46022</v>
      </c>
      <c r="B11" s="4">
        <f>PROC_MACRO!B63</f>
        <v>4.3466210863704937</v>
      </c>
      <c r="C11" s="4">
        <f>PROC_MACRO!C63</f>
        <v>24552.678996349008</v>
      </c>
      <c r="D11" s="4">
        <f>PROC_MACRO!D63</f>
        <v>2.9438023795544526</v>
      </c>
      <c r="E11" s="4">
        <f>PROC_MACRO!H63</f>
        <v>-0.32064492845010761</v>
      </c>
      <c r="F11" s="4">
        <f>PROC_MACRO!K63</f>
        <v>66.540484432402067</v>
      </c>
    </row>
    <row r="12" spans="1:8">
      <c r="A12" s="5">
        <f>PROC_MACRO!A64</f>
        <v>46053</v>
      </c>
      <c r="B12" s="4">
        <f>PROC_MACRO!B64</f>
        <v>4.5238117227997083</v>
      </c>
      <c r="C12" s="4">
        <f>PROC_MACRO!C64</f>
        <v>24543.994722277657</v>
      </c>
      <c r="D12" s="4">
        <f>PROC_MACRO!D64</f>
        <v>2.7383704447548824</v>
      </c>
      <c r="E12" s="4">
        <f>PROC_MACRO!H64</f>
        <v>-0.28370111122651487</v>
      </c>
      <c r="F12" s="4">
        <f>PROC_MACRO!K64</f>
        <v>54.340835155597929</v>
      </c>
    </row>
    <row r="13" spans="1:8">
      <c r="A13" s="5">
        <f>PROC_MACRO!A65</f>
        <v>46081</v>
      </c>
      <c r="B13" s="4">
        <f>PROC_MACRO!B65</f>
        <v>4.6945421981971762</v>
      </c>
      <c r="C13" s="4">
        <f>PROC_MACRO!C65</f>
        <v>24539.079635485541</v>
      </c>
      <c r="D13" s="4">
        <f>PROC_MACRO!D65</f>
        <v>2.5540459587190396</v>
      </c>
      <c r="E13" s="4">
        <f>PROC_MACRO!H65</f>
        <v>-0.2375194742788711</v>
      </c>
      <c r="F13" s="4">
        <f>PROC_MACRO!K65</f>
        <v>54.409884715936464</v>
      </c>
    </row>
    <row r="14" spans="1:8">
      <c r="A14" s="5">
        <f>PROC_MACRO!A66</f>
        <v>46112</v>
      </c>
      <c r="B14" s="4">
        <f>PROC_MACRO!B66</f>
        <v>4.8570768860131874</v>
      </c>
      <c r="C14" s="4">
        <f>PROC_MACRO!C66</f>
        <v>24538.845929444193</v>
      </c>
      <c r="D14" s="4">
        <f>PROC_MACRO!D66</f>
        <v>2.3959372048874861</v>
      </c>
      <c r="E14" s="4">
        <f>PROC_MACRO!H66</f>
        <v>-0.18286903887956463</v>
      </c>
      <c r="F14" s="4">
        <f>PROC_MACRO!K66</f>
        <v>54.495714276159937</v>
      </c>
    </row>
    <row r="15" spans="1:8">
      <c r="A15" s="5">
        <f>PROC_MACRO!A67</f>
        <v>46142</v>
      </c>
      <c r="B15" s="4">
        <f>PROC_MACRO!B67</f>
        <v>5.0097812382063047</v>
      </c>
      <c r="C15" s="4">
        <f>PROC_MACRO!C67</f>
        <v>24544.076060007083</v>
      </c>
      <c r="D15" s="4">
        <f>PROC_MACRO!D67</f>
        <v>2.2684259360396619</v>
      </c>
      <c r="E15" s="4">
        <f>PROC_MACRO!H67</f>
        <v>-0.1205960225163647</v>
      </c>
      <c r="F15" s="4">
        <f>PROC_MACRO!K67</f>
        <v>54.404088449796355</v>
      </c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5"/>
  <sheetViews>
    <sheetView workbookViewId="0">
      <selection sqref="A1:H1"/>
    </sheetView>
  </sheetViews>
  <sheetFormatPr defaultRowHeight="14.25"/>
  <cols>
    <col min="1" max="1" width="10.125" bestFit="1" customWidth="1"/>
    <col min="2" max="2" width="9.875" customWidth="1"/>
    <col min="3" max="3" width="12.125" customWidth="1"/>
    <col min="4" max="4" width="5.375" bestFit="1" customWidth="1"/>
    <col min="5" max="5" width="4.375" bestFit="1" customWidth="1"/>
    <col min="6" max="6" width="5.375" bestFit="1" customWidth="1"/>
    <col min="7" max="7" width="4.375" bestFit="1" customWidth="1"/>
    <col min="8" max="8" width="10.75" customWidth="1"/>
  </cols>
  <sheetData>
    <row r="1" spans="1:8" ht="27.95" customHeight="1">
      <c r="A1" s="10" t="s">
        <v>217</v>
      </c>
      <c r="B1" s="10" t="s">
        <v>217</v>
      </c>
      <c r="C1" s="10" t="s">
        <v>217</v>
      </c>
      <c r="D1" s="10" t="s">
        <v>217</v>
      </c>
      <c r="E1" s="10" t="s">
        <v>217</v>
      </c>
      <c r="F1" s="10" t="s">
        <v>217</v>
      </c>
      <c r="G1" s="10" t="s">
        <v>217</v>
      </c>
      <c r="H1" s="10" t="s">
        <v>217</v>
      </c>
    </row>
    <row r="3" spans="1:8" ht="25.5">
      <c r="A3" s="3" t="s">
        <v>75</v>
      </c>
      <c r="B3" s="3" t="s">
        <v>218</v>
      </c>
      <c r="C3" s="3" t="s">
        <v>219</v>
      </c>
      <c r="D3" s="3" t="s">
        <v>220</v>
      </c>
      <c r="E3" s="3" t="s">
        <v>221</v>
      </c>
      <c r="F3" s="3" t="s">
        <v>206</v>
      </c>
      <c r="G3" s="3" t="s">
        <v>208</v>
      </c>
      <c r="H3" s="3" t="s">
        <v>204</v>
      </c>
    </row>
    <row r="4" spans="1:8">
      <c r="A4" s="5">
        <f>PROC_ABBANK!A56</f>
        <v>45808</v>
      </c>
      <c r="B4" s="4">
        <f>PROC_ABBANK!B56</f>
        <v>7.9348390691688415</v>
      </c>
      <c r="C4" s="4">
        <f>PROC_ABBANK!C56</f>
        <v>10.675999953549479</v>
      </c>
      <c r="D4" s="4">
        <f>PROC_ABBANK!D56</f>
        <v>12.233090688559694</v>
      </c>
      <c r="E4" s="4">
        <f>PROC_ABBANK!E56</f>
        <v>3.2777173800241917</v>
      </c>
      <c r="F4" s="4">
        <f>PROC_ABBANK!F56</f>
        <v>92.519427080142407</v>
      </c>
      <c r="G4" s="4">
        <f>PROC_ABBANK!G56</f>
        <v>2.0752919958307352</v>
      </c>
      <c r="H4" s="4">
        <f>PROC_ABBANK!K56</f>
        <v>69.559526966520536</v>
      </c>
    </row>
    <row r="5" spans="1:8">
      <c r="A5" s="5">
        <f>PROC_ABBANK!A57</f>
        <v>45838</v>
      </c>
      <c r="B5" s="4">
        <f>PROC_ABBANK!B57</f>
        <v>8.1548508817445171</v>
      </c>
      <c r="C5" s="4">
        <f>PROC_ABBANK!C57</f>
        <v>10.747796109300094</v>
      </c>
      <c r="D5" s="4">
        <f>PROC_ABBANK!D57</f>
        <v>12.335465115552198</v>
      </c>
      <c r="E5" s="4">
        <f>PROC_ABBANK!E57</f>
        <v>3.290086688420474</v>
      </c>
      <c r="F5" s="4">
        <f>PROC_ABBANK!F57</f>
        <v>92.612452950344419</v>
      </c>
      <c r="G5" s="4">
        <f>PROC_ABBANK!G57</f>
        <v>2.11731907327703</v>
      </c>
      <c r="H5" s="4">
        <f>PROC_ABBANK!K57</f>
        <v>69.434693859715452</v>
      </c>
    </row>
    <row r="6" spans="1:8">
      <c r="A6" s="5">
        <f>PROC_ABBANK!A58</f>
        <v>45869</v>
      </c>
      <c r="B6" s="4">
        <f>PROC_ABBANK!B58</f>
        <v>8.3852859039623624</v>
      </c>
      <c r="C6" s="4">
        <f>PROC_ABBANK!C58</f>
        <v>10.789197558222353</v>
      </c>
      <c r="D6" s="4">
        <f>PROC_ABBANK!D58</f>
        <v>12.454471024888026</v>
      </c>
      <c r="E6" s="4">
        <f>PROC_ABBANK!E58</f>
        <v>3.2975645956864086</v>
      </c>
      <c r="F6" s="4">
        <f>PROC_ABBANK!F58</f>
        <v>92.756121543826538</v>
      </c>
      <c r="G6" s="4">
        <f>PROC_ABBANK!G58</f>
        <v>2.1575154258232163</v>
      </c>
      <c r="H6" s="4">
        <f>PROC_ABBANK!K58</f>
        <v>69.276107315990174</v>
      </c>
    </row>
    <row r="7" spans="1:8">
      <c r="A7" s="5">
        <f>PROC_ABBANK!A59</f>
        <v>45900</v>
      </c>
      <c r="B7" s="4">
        <f>PROC_ABBANK!B59</f>
        <v>8.6233021846286864</v>
      </c>
      <c r="C7" s="4">
        <f>PROC_ABBANK!C59</f>
        <v>10.799558244552898</v>
      </c>
      <c r="D7" s="4">
        <f>PROC_ABBANK!D59</f>
        <v>12.588919348859216</v>
      </c>
      <c r="E7" s="4">
        <f>PROC_ABBANK!E59</f>
        <v>3.2999987508345501</v>
      </c>
      <c r="F7" s="4">
        <f>PROC_ABBANK!F59</f>
        <v>92.949117185608713</v>
      </c>
      <c r="G7" s="4">
        <f>PROC_ABBANK!G59</f>
        <v>2.1952538028318291</v>
      </c>
      <c r="H7" s="4">
        <f>PROC_ABBANK!K59</f>
        <v>69.086076265988083</v>
      </c>
    </row>
    <row r="8" spans="1:8">
      <c r="A8" s="5">
        <f>PROC_ABBANK!A60</f>
        <v>45930</v>
      </c>
      <c r="B8" s="4">
        <f>PROC_ABBANK!B60</f>
        <v>8.8659642730188217</v>
      </c>
      <c r="C8" s="4">
        <f>PROC_ABBANK!C60</f>
        <v>10.778716493246764</v>
      </c>
      <c r="D8" s="4">
        <f>PROC_ABBANK!D60</f>
        <v>12.737466724255357</v>
      </c>
      <c r="E8" s="4">
        <f>PROC_ABBANK!E60</f>
        <v>3.2973395616558454</v>
      </c>
      <c r="F8" s="4">
        <f>PROC_ABBANK!F60</f>
        <v>93.18825316367311</v>
      </c>
      <c r="G8" s="4">
        <f>PROC_ABBANK!G60</f>
        <v>2.2299453095515762</v>
      </c>
      <c r="H8" s="4">
        <f>PROC_ABBANK!K60</f>
        <v>68.868778881701886</v>
      </c>
    </row>
    <row r="9" spans="1:8">
      <c r="A9" s="5">
        <f>PROC_ABBANK!A61</f>
        <v>45961</v>
      </c>
      <c r="B9" s="4">
        <f>PROC_ABBANK!B61</f>
        <v>9.1102794217407794</v>
      </c>
      <c r="C9" s="4">
        <f>PROC_ABBANK!C61</f>
        <v>10.726997532862377</v>
      </c>
      <c r="D9" s="4">
        <f>PROC_ABBANK!D61</f>
        <v>12.898628914804725</v>
      </c>
      <c r="E9" s="4">
        <f>PROC_ABBANK!E61</f>
        <v>3.2896412050854673</v>
      </c>
      <c r="F9" s="4">
        <f>PROC_ABBANK!F61</f>
        <v>93.468551458615536</v>
      </c>
      <c r="G9" s="4">
        <f>PROC_ABBANK!G61</f>
        <v>2.2610485966229708</v>
      </c>
      <c r="H9" s="4">
        <f>PROC_ABBANK!K61</f>
        <v>68.630149715412131</v>
      </c>
    </row>
    <row r="10" spans="1:8">
      <c r="A10" s="5">
        <f>PROC_ABBANK!A62</f>
        <v>45991</v>
      </c>
      <c r="B10" s="4">
        <f>PROC_ABBANK!B62</f>
        <v>9.3532344962377394</v>
      </c>
      <c r="C10" s="4">
        <f>PROC_ABBANK!C62</f>
        <v>10.645208420478681</v>
      </c>
      <c r="D10" s="4">
        <f>PROC_ABBANK!D62</f>
        <v>13.070795641172484</v>
      </c>
      <c r="E10" s="4">
        <f>PROC_ABBANK!E62</f>
        <v>3.2770605234301597</v>
      </c>
      <c r="F10" s="4">
        <f>PROC_ABBANK!F62</f>
        <v>93.783392881314555</v>
      </c>
      <c r="G10" s="4">
        <f>PROC_ABBANK!G62</f>
        <v>2.2880783076540268</v>
      </c>
      <c r="H10" s="4">
        <f>PROC_ABBANK!K62</f>
        <v>68.377687999581326</v>
      </c>
    </row>
    <row r="11" spans="1:8">
      <c r="A11" s="5">
        <f>PROC_ABBANK!A63</f>
        <v>46022</v>
      </c>
      <c r="B11" s="4">
        <f>PROC_ABBANK!B63</f>
        <v>9.5918331357250608</v>
      </c>
      <c r="C11" s="4">
        <f>PROC_ABBANK!C63</f>
        <v>10.534625447839348</v>
      </c>
      <c r="D11" s="4">
        <f>PROC_ABBANK!D63</f>
        <v>13.252246670339527</v>
      </c>
      <c r="E11" s="4">
        <f>PROC_ABBANK!E63</f>
        <v>3.2598538289447756</v>
      </c>
      <c r="F11" s="4">
        <f>PROC_ABBANK!F63</f>
        <v>94.124735039685831</v>
      </c>
      <c r="G11" s="4">
        <f>PROC_ABBANK!G63</f>
        <v>2.3106126530444264</v>
      </c>
      <c r="H11" s="4">
        <f>PROC_ABBANK!K63</f>
        <v>68.120190524398808</v>
      </c>
    </row>
    <row r="12" spans="1:8">
      <c r="A12" s="5">
        <f>PROC_ABBANK!A64</f>
        <v>46053</v>
      </c>
      <c r="B12" s="4">
        <f>PROC_ABBANK!B64</f>
        <v>9.8231327072566845</v>
      </c>
      <c r="C12" s="4">
        <f>PROC_ABBANK!C64</f>
        <v>10.396974225246982</v>
      </c>
      <c r="D12" s="4">
        <f>PROC_ABBANK!D64</f>
        <v>13.441169003602148</v>
      </c>
      <c r="E12" s="4">
        <f>PROC_ABBANK!E64</f>
        <v>3.2383716818599093</v>
      </c>
      <c r="F12" s="4">
        <f>PROC_ABBANK!F64</f>
        <v>94.483392364569468</v>
      </c>
      <c r="G12" s="4">
        <f>PROC_ABBANK!G64</f>
        <v>2.3282999918711584</v>
      </c>
      <c r="H12" s="4">
        <f>PROC_ABBANK!K64</f>
        <v>67.867416249261566</v>
      </c>
    </row>
    <row r="13" spans="1:8">
      <c r="A13" s="5">
        <f>PROC_ABBANK!A65</f>
        <v>46081</v>
      </c>
      <c r="B13" s="4">
        <f>PROC_ABBANK!B65</f>
        <v>10.044280597166992</v>
      </c>
      <c r="C13" s="4">
        <f>PROC_ABBANK!C65</f>
        <v>10.234402753991493</v>
      </c>
      <c r="D13" s="4">
        <f>PROC_ABBANK!D65</f>
        <v>13.635674991455808</v>
      </c>
      <c r="E13" s="4">
        <f>PROC_ABBANK!E65</f>
        <v>3.2130517482503631</v>
      </c>
      <c r="F13" s="4">
        <f>PROC_ABBANK!F65</f>
        <v>94.849369142120139</v>
      </c>
      <c r="G13" s="4">
        <f>PROC_ABBANK!G65</f>
        <v>2.3408643191275162</v>
      </c>
      <c r="H13" s="4">
        <f>PROC_ABBANK!K65</f>
        <v>67.629693648723347</v>
      </c>
    </row>
    <row r="14" spans="1:8">
      <c r="A14" s="5">
        <f>PROC_ABBANK!A66</f>
        <v>46112</v>
      </c>
      <c r="B14" s="4">
        <f>PROC_ABBANK!B66</f>
        <v>10.252549392306438</v>
      </c>
      <c r="C14" s="4">
        <f>PROC_ABBANK!C66</f>
        <v>10.049447907508386</v>
      </c>
      <c r="D14" s="4">
        <f>PROC_ABBANK!D66</f>
        <v>13.833821194365008</v>
      </c>
      <c r="E14" s="4">
        <f>PROC_ABBANK!E66</f>
        <v>3.1844098832545153</v>
      </c>
      <c r="F14" s="4">
        <f>PROC_ABBANK!F66</f>
        <v>95.212233360733052</v>
      </c>
      <c r="G14" s="4">
        <f>PROC_ABBANK!G66</f>
        <v>2.3481095726889114</v>
      </c>
      <c r="H14" s="4">
        <f>PROC_ABBANK!K66</f>
        <v>67.417485461808667</v>
      </c>
    </row>
    <row r="15" spans="1:8">
      <c r="A15" s="5">
        <f>PROC_ABBANK!A67</f>
        <v>46142</v>
      </c>
      <c r="B15" s="4">
        <f>PROC_ABBANK!B67</f>
        <v>10.445370517181336</v>
      </c>
      <c r="C15" s="4">
        <f>PROC_ABBANK!C67</f>
        <v>9.8449958443172818</v>
      </c>
      <c r="D15" s="4">
        <f>PROC_ABBANK!D67</f>
        <v>14.033627800968699</v>
      </c>
      <c r="E15" s="4">
        <f>PROC_ABBANK!E67</f>
        <v>3.1530296213104392</v>
      </c>
      <c r="F15" s="4">
        <f>PROC_ABBANK!F67</f>
        <v>95.561516447502854</v>
      </c>
      <c r="G15" s="4">
        <f>PROC_ABBANK!G67</f>
        <v>2.3499226927967571</v>
      </c>
      <c r="H15" s="4">
        <f>PROC_ABBANK!K67</f>
        <v>67.240928692066717</v>
      </c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5"/>
  <sheetViews>
    <sheetView workbookViewId="0">
      <selection sqref="A1:H1"/>
    </sheetView>
  </sheetViews>
  <sheetFormatPr defaultRowHeight="14.25"/>
  <cols>
    <col min="1" max="1" width="10.125" bestFit="1" customWidth="1"/>
    <col min="2" max="2" width="10.125" customWidth="1"/>
    <col min="3" max="3" width="11.125" customWidth="1"/>
    <col min="4" max="4" width="4.125" customWidth="1"/>
    <col min="5" max="6" width="14.125" customWidth="1"/>
    <col min="7" max="7" width="16.25" customWidth="1"/>
    <col min="8" max="8" width="7.25" customWidth="1"/>
  </cols>
  <sheetData>
    <row r="1" spans="1:8" ht="27.95" customHeight="1">
      <c r="A1" s="10" t="s">
        <v>222</v>
      </c>
      <c r="B1" s="10" t="s">
        <v>222</v>
      </c>
      <c r="C1" s="10" t="s">
        <v>222</v>
      </c>
      <c r="D1" s="10" t="s">
        <v>222</v>
      </c>
      <c r="E1" s="10" t="s">
        <v>222</v>
      </c>
      <c r="F1" s="10" t="s">
        <v>222</v>
      </c>
      <c r="G1" s="10" t="s">
        <v>222</v>
      </c>
      <c r="H1" s="10" t="s">
        <v>222</v>
      </c>
    </row>
    <row r="3" spans="1:8" ht="25.5">
      <c r="A3" s="3" t="s">
        <v>75</v>
      </c>
      <c r="B3" s="3" t="s">
        <v>223</v>
      </c>
      <c r="C3" s="3" t="s">
        <v>224</v>
      </c>
      <c r="D3" s="3" t="s">
        <v>210</v>
      </c>
      <c r="E3" s="3" t="s">
        <v>225</v>
      </c>
      <c r="F3" s="3" t="s">
        <v>226</v>
      </c>
      <c r="G3" s="3" t="s">
        <v>227</v>
      </c>
      <c r="H3" s="3" t="s">
        <v>228</v>
      </c>
    </row>
    <row r="4" spans="1:8">
      <c r="A4" s="5">
        <f>PROC_TREASURY!A56</f>
        <v>45808</v>
      </c>
      <c r="B4" s="7">
        <f>PROC_TREASURY!B56</f>
        <v>50000</v>
      </c>
      <c r="C4" s="7">
        <f>PROC_TREASURY!C56</f>
        <v>2.1752919958307357</v>
      </c>
      <c r="D4" s="7">
        <f>PROC_TREASURY!D56</f>
        <v>3.9932362754238775</v>
      </c>
      <c r="E4" s="7">
        <f>PROC_TREASURY!E56</f>
        <v>399.32362754238773</v>
      </c>
      <c r="F4" s="7">
        <f>PROC_TREASURY!F56</f>
        <v>798.64725508477545</v>
      </c>
      <c r="G4" s="7">
        <f>PROC_TREASURY!H56</f>
        <v>1.5972945101695508</v>
      </c>
      <c r="H4" t="str">
        <f>PROC_TREASURY!J56</f>
        <v>Xanh</v>
      </c>
    </row>
    <row r="5" spans="1:8">
      <c r="A5" s="5">
        <f>PROC_TREASURY!A57</f>
        <v>45838</v>
      </c>
      <c r="B5" s="7">
        <f>PROC_TREASURY!B57</f>
        <v>50000</v>
      </c>
      <c r="C5" s="7">
        <f>PROC_TREASURY!C57</f>
        <v>2.21731907327703</v>
      </c>
      <c r="D5" s="7">
        <f>PROC_TREASURY!D57</f>
        <v>4.0341860462208796</v>
      </c>
      <c r="E5" s="7">
        <f>PROC_TREASURY!E57</f>
        <v>403.41860462208797</v>
      </c>
      <c r="F5" s="7">
        <f>PROC_TREASURY!F57</f>
        <v>806.83720924417594</v>
      </c>
      <c r="G5" s="7">
        <f>PROC_TREASURY!H57</f>
        <v>1.613674418488352</v>
      </c>
      <c r="H5" t="str">
        <f>PROC_TREASURY!J57</f>
        <v>Xanh</v>
      </c>
    </row>
    <row r="6" spans="1:8">
      <c r="A6" s="5">
        <f>PROC_TREASURY!A58</f>
        <v>45869</v>
      </c>
      <c r="B6" s="7">
        <f>PROC_TREASURY!B58</f>
        <v>50000</v>
      </c>
      <c r="C6" s="7">
        <f>PROC_TREASURY!C58</f>
        <v>2.2575154258232164</v>
      </c>
      <c r="D6" s="7">
        <f>PROC_TREASURY!D58</f>
        <v>4.0817884099552106</v>
      </c>
      <c r="E6" s="7">
        <f>PROC_TREASURY!E58</f>
        <v>408.17884099552106</v>
      </c>
      <c r="F6" s="7">
        <f>PROC_TREASURY!F58</f>
        <v>816.35768199104211</v>
      </c>
      <c r="G6" s="7">
        <f>PROC_TREASURY!H58</f>
        <v>1.6327153639820842</v>
      </c>
      <c r="H6" t="str">
        <f>PROC_TREASURY!J58</f>
        <v>Xanh</v>
      </c>
    </row>
    <row r="7" spans="1:8">
      <c r="A7" s="5">
        <f>PROC_TREASURY!A59</f>
        <v>45900</v>
      </c>
      <c r="B7" s="7">
        <f>PROC_TREASURY!B59</f>
        <v>50000</v>
      </c>
      <c r="C7" s="7">
        <f>PROC_TREASURY!C59</f>
        <v>2.2952538028318292</v>
      </c>
      <c r="D7" s="7">
        <f>PROC_TREASURY!D59</f>
        <v>4.1355677395436867</v>
      </c>
      <c r="E7" s="7">
        <f>PROC_TREASURY!E59</f>
        <v>413.55677395436868</v>
      </c>
      <c r="F7" s="7">
        <f>PROC_TREASURY!F59</f>
        <v>827.11354790873736</v>
      </c>
      <c r="G7" s="7">
        <f>PROC_TREASURY!H59</f>
        <v>1.6542270958174745</v>
      </c>
      <c r="H7" t="str">
        <f>PROC_TREASURY!J59</f>
        <v>Xanh</v>
      </c>
    </row>
    <row r="8" spans="1:8">
      <c r="A8" s="5">
        <f>PROC_TREASURY!A60</f>
        <v>45930</v>
      </c>
      <c r="B8" s="7">
        <f>PROC_TREASURY!B60</f>
        <v>50000</v>
      </c>
      <c r="C8" s="7">
        <f>PROC_TREASURY!C60</f>
        <v>2.3299453095515763</v>
      </c>
      <c r="D8" s="7">
        <f>PROC_TREASURY!D60</f>
        <v>4.1949866897021426</v>
      </c>
      <c r="E8" s="7">
        <f>PROC_TREASURY!E60</f>
        <v>419.49866897021428</v>
      </c>
      <c r="F8" s="7">
        <f>PROC_TREASURY!F60</f>
        <v>838.99733794042857</v>
      </c>
      <c r="G8" s="7">
        <f>PROC_TREASURY!H60</f>
        <v>1.6779946758808573</v>
      </c>
      <c r="H8" t="str">
        <f>PROC_TREASURY!J60</f>
        <v>Xanh</v>
      </c>
    </row>
    <row r="9" spans="1:8">
      <c r="A9" s="5">
        <f>PROC_TREASURY!A61</f>
        <v>45961</v>
      </c>
      <c r="B9" s="7">
        <f>PROC_TREASURY!B61</f>
        <v>50000</v>
      </c>
      <c r="C9" s="7">
        <f>PROC_TREASURY!C61</f>
        <v>2.3610485966229708</v>
      </c>
      <c r="D9" s="7">
        <f>PROC_TREASURY!D61</f>
        <v>4.2594515659218901</v>
      </c>
      <c r="E9" s="7">
        <f>PROC_TREASURY!E61</f>
        <v>425.94515659218899</v>
      </c>
      <c r="F9" s="7">
        <f>PROC_TREASURY!F61</f>
        <v>851.89031318437799</v>
      </c>
      <c r="G9" s="7">
        <f>PROC_TREASURY!H61</f>
        <v>1.703780626368756</v>
      </c>
      <c r="H9" t="str">
        <f>PROC_TREASURY!J61</f>
        <v>Xanh</v>
      </c>
    </row>
    <row r="10" spans="1:8">
      <c r="A10" s="5">
        <f>PROC_TREASURY!A62</f>
        <v>45991</v>
      </c>
      <c r="B10" s="7">
        <f>PROC_TREASURY!B62</f>
        <v>50000</v>
      </c>
      <c r="C10" s="7">
        <f>PROC_TREASURY!C62</f>
        <v>2.3880783076540268</v>
      </c>
      <c r="D10" s="7">
        <f>PROC_TREASURY!D62</f>
        <v>4.3283182564689939</v>
      </c>
      <c r="E10" s="7">
        <f>PROC_TREASURY!E62</f>
        <v>432.8318256468994</v>
      </c>
      <c r="F10" s="7">
        <f>PROC_TREASURY!F62</f>
        <v>865.66365129379881</v>
      </c>
      <c r="G10" s="7">
        <f>PROC_TREASURY!H62</f>
        <v>1.7313273025875975</v>
      </c>
      <c r="H10" t="str">
        <f>PROC_TREASURY!J62</f>
        <v>Xanh</v>
      </c>
    </row>
    <row r="11" spans="1:8">
      <c r="A11" s="5">
        <f>PROC_TREASURY!A63</f>
        <v>46022</v>
      </c>
      <c r="B11" s="7">
        <f>PROC_TREASURY!B63</f>
        <v>50000</v>
      </c>
      <c r="C11" s="7">
        <f>PROC_TREASURY!C63</f>
        <v>2.4106126530444265</v>
      </c>
      <c r="D11" s="7">
        <f>PROC_TREASURY!D63</f>
        <v>4.4008986681358113</v>
      </c>
      <c r="E11" s="7">
        <f>PROC_TREASURY!E63</f>
        <v>440.08986681358112</v>
      </c>
      <c r="F11" s="7">
        <f>PROC_TREASURY!F63</f>
        <v>880.17973362716225</v>
      </c>
      <c r="G11" s="7">
        <f>PROC_TREASURY!H63</f>
        <v>1.7603594672543244</v>
      </c>
      <c r="H11" t="str">
        <f>PROC_TREASURY!J63</f>
        <v>Xanh</v>
      </c>
    </row>
    <row r="12" spans="1:8">
      <c r="A12" s="5">
        <f>PROC_TREASURY!A64</f>
        <v>46053</v>
      </c>
      <c r="B12" s="7">
        <f>PROC_TREASURY!B64</f>
        <v>50000</v>
      </c>
      <c r="C12" s="7">
        <f>PROC_TREASURY!C64</f>
        <v>2.4282999918711585</v>
      </c>
      <c r="D12" s="7">
        <f>PROC_TREASURY!D64</f>
        <v>4.4764676014408593</v>
      </c>
      <c r="E12" s="7">
        <f>PROC_TREASURY!E64</f>
        <v>447.64676014408593</v>
      </c>
      <c r="F12" s="7">
        <f>PROC_TREASURY!F64</f>
        <v>895.29352028817186</v>
      </c>
      <c r="G12" s="7">
        <f>PROC_TREASURY!H64</f>
        <v>1.7905870405763438</v>
      </c>
      <c r="H12" t="str">
        <f>PROC_TREASURY!J64</f>
        <v>Xanh</v>
      </c>
    </row>
    <row r="13" spans="1:8">
      <c r="A13" s="5">
        <f>PROC_TREASURY!A65</f>
        <v>46081</v>
      </c>
      <c r="B13" s="7">
        <f>PROC_TREASURY!B65</f>
        <v>50000</v>
      </c>
      <c r="C13" s="7">
        <f>PROC_TREASURY!C65</f>
        <v>2.4408643191275163</v>
      </c>
      <c r="D13" s="7">
        <f>PROC_TREASURY!D65</f>
        <v>4.5542699965823239</v>
      </c>
      <c r="E13" s="7">
        <f>PROC_TREASURY!E65</f>
        <v>455.42699965823238</v>
      </c>
      <c r="F13" s="7">
        <f>PROC_TREASURY!F65</f>
        <v>910.85399931646475</v>
      </c>
      <c r="G13" s="7">
        <f>PROC_TREASURY!H65</f>
        <v>1.8217079986329296</v>
      </c>
      <c r="H13" t="str">
        <f>PROC_TREASURY!J65</f>
        <v>Xanh</v>
      </c>
    </row>
    <row r="14" spans="1:8">
      <c r="A14" s="5">
        <f>PROC_TREASURY!A66</f>
        <v>46112</v>
      </c>
      <c r="B14" s="7">
        <f>PROC_TREASURY!B66</f>
        <v>50000</v>
      </c>
      <c r="C14" s="7">
        <f>PROC_TREASURY!C66</f>
        <v>2.4481095726889119</v>
      </c>
      <c r="D14" s="7">
        <f>PROC_TREASURY!D66</f>
        <v>4.6335284777460028</v>
      </c>
      <c r="E14" s="7">
        <f>PROC_TREASURY!E66</f>
        <v>463.35284777460026</v>
      </c>
      <c r="F14" s="7">
        <f>PROC_TREASURY!F66</f>
        <v>926.70569554920053</v>
      </c>
      <c r="G14" s="7">
        <f>PROC_TREASURY!H66</f>
        <v>1.8534113910984011</v>
      </c>
      <c r="H14" t="str">
        <f>PROC_TREASURY!J66</f>
        <v>Xanh</v>
      </c>
    </row>
    <row r="15" spans="1:8">
      <c r="A15" s="5">
        <f>PROC_TREASURY!A67</f>
        <v>46142</v>
      </c>
      <c r="B15" s="7">
        <f>PROC_TREASURY!B67</f>
        <v>50000</v>
      </c>
      <c r="C15" s="7">
        <f>PROC_TREASURY!C67</f>
        <v>2.4499226927967572</v>
      </c>
      <c r="D15" s="7">
        <f>PROC_TREASURY!D67</f>
        <v>4.7134511203874796</v>
      </c>
      <c r="E15" s="7">
        <f>PROC_TREASURY!E67</f>
        <v>471.34511203874797</v>
      </c>
      <c r="F15" s="7">
        <f>PROC_TREASURY!F67</f>
        <v>942.69022407749594</v>
      </c>
      <c r="G15" s="7">
        <f>PROC_TREASURY!H67</f>
        <v>1.8853804481549921</v>
      </c>
      <c r="H15" t="str">
        <f>PROC_TREASURY!J67</f>
        <v>Xanh</v>
      </c>
    </row>
  </sheetData>
  <mergeCells count="1"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"/>
  <sheetViews>
    <sheetView workbookViewId="0">
      <selection sqref="A1:H1"/>
    </sheetView>
  </sheetViews>
  <sheetFormatPr defaultRowHeight="14.25"/>
  <cols>
    <col min="1" max="1" width="10.625" customWidth="1"/>
    <col min="2" max="2" width="8.375" bestFit="1" customWidth="1"/>
    <col min="3" max="3" width="10.375" customWidth="1"/>
    <col min="4" max="4" width="5.375" customWidth="1"/>
    <col min="5" max="5" width="7.875" customWidth="1"/>
    <col min="6" max="6" width="42" customWidth="1"/>
  </cols>
  <sheetData>
    <row r="1" spans="1:8" ht="27.95" customHeight="1">
      <c r="A1" s="10" t="s">
        <v>229</v>
      </c>
      <c r="B1" s="10" t="s">
        <v>229</v>
      </c>
      <c r="C1" s="10" t="s">
        <v>229</v>
      </c>
      <c r="D1" s="10" t="s">
        <v>229</v>
      </c>
      <c r="E1" s="10" t="s">
        <v>229</v>
      </c>
      <c r="F1" s="10" t="s">
        <v>229</v>
      </c>
      <c r="G1" s="10" t="s">
        <v>229</v>
      </c>
      <c r="H1" s="10" t="s">
        <v>229</v>
      </c>
    </row>
    <row r="3" spans="1:8" ht="25.5">
      <c r="A3" s="3" t="s">
        <v>230</v>
      </c>
      <c r="B3" s="3" t="s">
        <v>231</v>
      </c>
      <c r="C3" s="3" t="s">
        <v>232</v>
      </c>
      <c r="D3" s="3" t="s">
        <v>233</v>
      </c>
      <c r="E3" s="3" t="s">
        <v>234</v>
      </c>
      <c r="F3" s="3" t="s">
        <v>235</v>
      </c>
    </row>
    <row r="4" spans="1:8">
      <c r="A4" t="s">
        <v>215</v>
      </c>
      <c r="B4" s="4">
        <f>PROC_MACRO!C67</f>
        <v>24544.076060007083</v>
      </c>
      <c r="C4" s="4">
        <f ca="1">C4*(1+0.005)</f>
        <v>0</v>
      </c>
      <c r="D4" s="4">
        <f ca="1">C4*(1-0.005)</f>
        <v>0</v>
      </c>
      <c r="E4" s="4">
        <f ca="1">C4*(1+0.015)</f>
        <v>0</v>
      </c>
      <c r="F4" t="s">
        <v>236</v>
      </c>
    </row>
    <row r="5" spans="1:8">
      <c r="A5" t="s">
        <v>201</v>
      </c>
      <c r="B5" s="4">
        <f>PROC_MACRO!D67</f>
        <v>2.2684259360396619</v>
      </c>
      <c r="C5" s="4">
        <f ca="1">C5+0.2</f>
        <v>0.2</v>
      </c>
      <c r="D5" s="4">
        <f ca="1">C5-0.3</f>
        <v>-9.9999999999999978E-2</v>
      </c>
      <c r="E5" s="4">
        <f ca="1">C5+0.8</f>
        <v>1</v>
      </c>
      <c r="F5" t="s">
        <v>236</v>
      </c>
    </row>
    <row r="6" spans="1:8">
      <c r="A6" t="s">
        <v>199</v>
      </c>
      <c r="B6" s="4">
        <f>PROC_MACRO!B67</f>
        <v>5.0097812382063047</v>
      </c>
      <c r="C6" s="4">
        <f ca="1">C6+0.1</f>
        <v>0.1</v>
      </c>
      <c r="D6" s="4">
        <f ca="1">C6-0.2</f>
        <v>-0.1</v>
      </c>
      <c r="E6" s="4">
        <f ca="1">C6+0.5</f>
        <v>0.6</v>
      </c>
      <c r="F6" t="s">
        <v>236</v>
      </c>
    </row>
  </sheetData>
  <mergeCells count="1">
    <mergeCell ref="A1:H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8"/>
  <sheetViews>
    <sheetView workbookViewId="0">
      <selection sqref="A1:H1"/>
    </sheetView>
  </sheetViews>
  <sheetFormatPr defaultRowHeight="14.25"/>
  <cols>
    <col min="2" max="2" width="14" customWidth="1"/>
    <col min="3" max="3" width="48" customWidth="1"/>
    <col min="4" max="4" width="14.5" customWidth="1"/>
    <col min="5" max="5" width="60" customWidth="1"/>
  </cols>
  <sheetData>
    <row r="1" spans="1:8" ht="27.95" customHeight="1">
      <c r="A1" s="10" t="s">
        <v>237</v>
      </c>
      <c r="B1" s="10" t="s">
        <v>237</v>
      </c>
      <c r="C1" s="10" t="s">
        <v>237</v>
      </c>
      <c r="D1" s="10" t="s">
        <v>237</v>
      </c>
      <c r="E1" s="10" t="s">
        <v>237</v>
      </c>
      <c r="F1" s="10" t="s">
        <v>237</v>
      </c>
      <c r="G1" s="10" t="s">
        <v>237</v>
      </c>
      <c r="H1" s="10" t="s">
        <v>237</v>
      </c>
    </row>
    <row r="3" spans="1:8" ht="15" customHeight="1">
      <c r="A3" s="3" t="s">
        <v>238</v>
      </c>
      <c r="B3" s="3" t="s">
        <v>187</v>
      </c>
      <c r="C3" s="3" t="s">
        <v>239</v>
      </c>
      <c r="D3" s="3" t="s">
        <v>16</v>
      </c>
      <c r="E3" s="3" t="s">
        <v>240</v>
      </c>
    </row>
    <row r="4" spans="1:8" ht="26.85" customHeight="1">
      <c r="A4" s="2">
        <f>PROC_RECOMMENDATION!A4</f>
        <v>1</v>
      </c>
      <c r="B4" s="2" t="str">
        <f>PROC_RECOMMENDATION!B4</f>
        <v>VNIBOR spike</v>
      </c>
      <c r="C4" s="2" t="str">
        <f>PROC_RECOMMENDATION!C4</f>
        <v>Giữ duration ngắn; hạn chế tăng vị thế bond dài hạn</v>
      </c>
      <c r="D4" s="2" t="str">
        <f>PROC_RECOMMENDATION!D4</f>
        <v>Treasury</v>
      </c>
      <c r="E4" s="2" t="str">
        <f>PROC_RECOMMENDATION!E4</f>
        <v>VNIBOR cao thường làm tăng risk premium và gây MTM loss cho duration dài.</v>
      </c>
    </row>
    <row r="5" spans="1:8" ht="26.85" customHeight="1">
      <c r="A5" s="2">
        <f>PROC_RECOMMENDATION!A5</f>
        <v>2</v>
      </c>
      <c r="B5" s="2" t="str">
        <f>PROC_RECOMMENDATION!B5</f>
        <v>FX pressure</v>
      </c>
      <c r="C5" s="2" t="str">
        <f>PROC_RECOMMENDATION!C5</f>
        <v>Theo dõi trạng thái USD; cân nhắc hedge/giảm trạng thái mở</v>
      </c>
      <c r="D5" s="2" t="str">
        <f>PROC_RECOMMENDATION!D5</f>
        <v>Treasury</v>
      </c>
      <c r="E5" s="2" t="str">
        <f>PROC_RECOMMENDATION!E5</f>
        <v>Biến động tỷ giá có thể ảnh hưởng thanh khoản ngoại tệ và tâm lý huy động.</v>
      </c>
    </row>
    <row r="6" spans="1:8" ht="26.85" customHeight="1">
      <c r="A6" s="2">
        <f>PROC_RECOMMENDATION!A6</f>
        <v>3</v>
      </c>
      <c r="B6" s="2" t="str">
        <f>PROC_RECOMMENDATION!B6</f>
        <v>LDR high</v>
      </c>
      <c r="C6" s="2" t="str">
        <f>PROC_RECOMMENDATION!C6</f>
        <v>Kiểm soát tăng trưởng tín dụng; ưu tiên huy động CASA/kỳ hạn bền vững</v>
      </c>
      <c r="D6" s="2" t="str">
        <f>PROC_RECOMMENDATION!D6</f>
        <v>Finance/ALM</v>
      </c>
      <c r="E6" s="2" t="str">
        <f>PROC_RECOMMENDATION!E6</f>
        <v>LDR cao làm giảm dư địa thanh khoản và tăng cạnh tranh huy động.</v>
      </c>
    </row>
    <row r="7" spans="1:8" ht="26.85" customHeight="1">
      <c r="A7" s="2">
        <f>PROC_RECOMMENDATION!A7</f>
        <v>4</v>
      </c>
      <c r="B7" s="2" t="str">
        <f>PROC_RECOMMENDATION!B7</f>
        <v>NPL risk</v>
      </c>
      <c r="C7" s="2" t="str">
        <f>PROC_RECOMMENDATION!C7</f>
        <v>Rà soát phân khúc rủi ro; tăng cảnh báo sớm tín dụng</v>
      </c>
      <c r="D7" s="2" t="str">
        <f>PROC_RECOMMENDATION!D7</f>
        <v>Risk/Business</v>
      </c>
      <c r="E7" s="2" t="str">
        <f>PROC_RECOMMENDATION!E7</f>
        <v>NPL tăng làm tăng provisioning và giảm ROA/ROE.</v>
      </c>
    </row>
    <row r="8" spans="1:8" ht="40.35" customHeight="1">
      <c r="A8" s="2">
        <f>PROC_RECOMMENDATION!A8</f>
        <v>5</v>
      </c>
      <c r="B8" s="2" t="str">
        <f>PROC_RECOMMENDATION!B8</f>
        <v>Treasury stress loss</v>
      </c>
      <c r="C8" s="2" t="str">
        <f>PROC_RECOMMENDATION!C8</f>
        <v>Giảm DV01 hoặc đặt stop-loss theo vốn Treasury</v>
      </c>
      <c r="D8" s="2" t="str">
        <f>PROC_RECOMMENDATION!D8</f>
        <v>Treasury/Risk</v>
      </c>
      <c r="E8" s="2" t="str">
        <f>PROC_RECOMMENDATION!E8</f>
        <v>Stress loss vượt risk appetite làm suy giảm vốn chịu rủi ro của Treasury.</v>
      </c>
    </row>
  </sheetData>
  <mergeCells count="1">
    <mergeCell ref="A1:H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8"/>
  <sheetViews>
    <sheetView workbookViewId="0">
      <selection activeCell="B17" sqref="B17"/>
    </sheetView>
  </sheetViews>
  <sheetFormatPr defaultRowHeight="14.25"/>
  <cols>
    <col min="1" max="1" width="24" customWidth="1"/>
    <col min="2" max="2" width="110" customWidth="1"/>
  </cols>
  <sheetData>
    <row r="1" spans="1:8" ht="27.95" customHeight="1">
      <c r="A1" s="10" t="s">
        <v>241</v>
      </c>
      <c r="B1" s="10" t="s">
        <v>241</v>
      </c>
      <c r="C1" s="10" t="s">
        <v>241</v>
      </c>
      <c r="D1" s="10" t="s">
        <v>241</v>
      </c>
      <c r="E1" s="10" t="s">
        <v>241</v>
      </c>
      <c r="F1" s="10" t="s">
        <v>241</v>
      </c>
      <c r="G1" s="10" t="s">
        <v>241</v>
      </c>
      <c r="H1" s="10" t="s">
        <v>241</v>
      </c>
    </row>
    <row r="3" spans="1:8" ht="15" customHeight="1">
      <c r="A3" s="3" t="s">
        <v>242</v>
      </c>
      <c r="B3" s="3" t="s">
        <v>243</v>
      </c>
    </row>
    <row r="4" spans="1:8" ht="15" customHeight="1">
      <c r="A4" s="2" t="s">
        <v>244</v>
      </c>
      <c r="B4" s="2" t="str">
        <f>TEXT(PROC_MACRO!A67,"yyyy-mm-dd")&amp;": CPI "&amp;TEXT(PROC_MACRO!B67,"0.00")&amp;"%, VNIBOR ON "&amp;TEXT(PROC_MACRO!D67,"0.00")&amp;"%, USD/VND "&amp;TEXT(PROC_MACRO!C67,"#,##0")&amp;"."</f>
        <v>2026-04-30: CPI 5.01%, VNIBOR ON 2.27%, USD/VND 24,544.</v>
      </c>
    </row>
    <row r="5" spans="1:8" ht="15" customHeight="1">
      <c r="A5" s="2" t="s">
        <v>245</v>
      </c>
      <c r="B5" s="2" t="str">
        <f>IF(PROC_MACRO!D67&gt;=CONFIG!B6,"Funding cost có xu hướng chịu áp lực; ngành ngân hàng cần thận trọng với NIM và thanh khoản.","Điều kiện thanh khoản tương đối ổn định; dư địa duy trì tăng trưởng có thể tốt hơn.")</f>
        <v>Điều kiện thanh khoản tương đối ổn định; dư địa duy trì tăng trưởng có thể tốt hơn.</v>
      </c>
    </row>
    <row r="6" spans="1:8" ht="15" customHeight="1">
      <c r="A6" s="2" t="s">
        <v>246</v>
      </c>
      <c r="B6" s="2" t="str">
        <f>IF(PROC_ABBANK!F67&gt;=CONFIG!B10,"ABBank cần ưu tiên huy động bền vững/CASA và kiểm soát LDR.","ABBank có dư địa thanh khoản tương đối ổn để triển khai tăng trưởng chọn lọc.")</f>
        <v>ABBank cần ưu tiên huy động bền vững/CASA và kiểm soát LDR.</v>
      </c>
    </row>
    <row r="7" spans="1:8" ht="15" customHeight="1">
      <c r="A7" s="2" t="s">
        <v>247</v>
      </c>
      <c r="B7" s="2" t="str">
        <f>_xlfn.TEXTJOIN("; ",TRUE,PROC_SIGNAL!B4&amp;": "&amp;PROC_SIGNAL!E4,PROC_SIGNAL!B5&amp;": "&amp;PROC_SIGNAL!E5,PROC_SIGNAL!B6&amp;": "&amp;PROC_SIGNAL!E6,PROC_SIGNAL!B7&amp;": "&amp;PROC_SIGNAL!E7,PROC_SIGNAL!B8&amp;": "&amp;PROC_SIGNAL!E8)</f>
        <v>VNIBOR spike: Xanh; FX pressure: Xanh; LDR high: Đỏ; NPL risk: Xanh; Treasury stress loss: Xanh</v>
      </c>
    </row>
    <row r="8" spans="1:8" ht="26.85" customHeight="1">
      <c r="A8" s="2" t="s">
        <v>248</v>
      </c>
      <c r="B8" s="2" t="str">
        <f>_xlfn.TEXTJOIN("; ",TRUE,PROC_RECOMMENDATION!C4,PROC_RECOMMENDATION!C5,PROC_RECOMMENDATION!C6)</f>
        <v>Giữ duration ngắn; hạn chế tăng vị thế bond dài hạn; Theo dõi trạng thái USD; cân nhắc hedge/giảm trạng thái mở; Kiểm soát tăng trưởng tín dụng; ưu tiên huy động CASA/kỳ hạn bền vững</v>
      </c>
    </row>
  </sheetData>
  <mergeCells count="1">
    <mergeCell ref="A1:H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"/>
  <sheetViews>
    <sheetView tabSelected="1" workbookViewId="0">
      <selection activeCell="S16" sqref="S16"/>
    </sheetView>
  </sheetViews>
  <sheetFormatPr defaultRowHeight="14.25"/>
  <cols>
    <col min="1" max="9" width="6.75" customWidth="1"/>
  </cols>
  <sheetData>
    <row r="1" spans="1:9" ht="27.95" customHeight="1">
      <c r="A1" s="10" t="s">
        <v>249</v>
      </c>
      <c r="B1" s="10" t="s">
        <v>249</v>
      </c>
      <c r="C1" s="10" t="s">
        <v>249</v>
      </c>
      <c r="D1" s="10" t="s">
        <v>249</v>
      </c>
      <c r="E1" s="10" t="s">
        <v>249</v>
      </c>
      <c r="F1" s="10" t="s">
        <v>249</v>
      </c>
      <c r="G1" s="10" t="s">
        <v>249</v>
      </c>
      <c r="H1" s="10" t="s">
        <v>249</v>
      </c>
      <c r="I1" s="10" t="s">
        <v>249</v>
      </c>
    </row>
    <row r="3" spans="1:9" ht="25.5">
      <c r="A3" s="3" t="s">
        <v>250</v>
      </c>
      <c r="B3" s="3" t="s">
        <v>251</v>
      </c>
      <c r="C3" s="3" t="s">
        <v>252</v>
      </c>
      <c r="D3" s="3" t="s">
        <v>253</v>
      </c>
      <c r="E3" s="3" t="s">
        <v>254</v>
      </c>
      <c r="F3" s="3" t="s">
        <v>255</v>
      </c>
      <c r="G3" s="3" t="s">
        <v>256</v>
      </c>
      <c r="H3" s="3" t="s">
        <v>257</v>
      </c>
      <c r="I3" s="3" t="s">
        <v>258</v>
      </c>
    </row>
  </sheetData>
  <mergeCells count="1">
    <mergeCell ref="A1:I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3"/>
  <sheetViews>
    <sheetView workbookViewId="0">
      <selection activeCell="I24" sqref="I24"/>
    </sheetView>
  </sheetViews>
  <sheetFormatPr defaultRowHeight="14.25"/>
  <cols>
    <col min="1" max="7" width="14.875" customWidth="1"/>
  </cols>
  <sheetData>
    <row r="1" spans="1:7" ht="27.95" customHeight="1">
      <c r="A1" s="10" t="s">
        <v>259</v>
      </c>
      <c r="B1" s="10" t="s">
        <v>259</v>
      </c>
      <c r="C1" s="10" t="s">
        <v>259</v>
      </c>
      <c r="D1" s="10" t="s">
        <v>259</v>
      </c>
      <c r="E1" s="10" t="s">
        <v>259</v>
      </c>
      <c r="F1" s="10" t="s">
        <v>259</v>
      </c>
      <c r="G1" s="10" t="s">
        <v>259</v>
      </c>
    </row>
    <row r="3" spans="1:7">
      <c r="A3" s="3" t="s">
        <v>75</v>
      </c>
      <c r="B3" s="3" t="s">
        <v>157</v>
      </c>
      <c r="C3" s="3" t="s">
        <v>160</v>
      </c>
      <c r="D3" s="3" t="s">
        <v>158</v>
      </c>
      <c r="E3" s="3" t="s">
        <v>260</v>
      </c>
      <c r="F3" s="3" t="s">
        <v>166</v>
      </c>
      <c r="G3" s="3" t="s">
        <v>159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README</vt:lpstr>
      <vt:lpstr>CONFIG</vt:lpstr>
      <vt:lpstr>SOURCES</vt:lpstr>
      <vt:lpstr>INPUT_MACRO</vt:lpstr>
      <vt:lpstr>INPUT_INDUSTRY</vt:lpstr>
      <vt:lpstr>INPUT_ABBANK</vt:lpstr>
      <vt:lpstr>INPUT_TREASURY</vt:lpstr>
      <vt:lpstr>INPUT_SCENARIO</vt:lpstr>
      <vt:lpstr>PROC_MACRO</vt:lpstr>
      <vt:lpstr>PROC_ABBANK</vt:lpstr>
      <vt:lpstr>PROC_TREASURY</vt:lpstr>
      <vt:lpstr>PROC_SIGNAL</vt:lpstr>
      <vt:lpstr>PROC_RECOMMENDATION</vt:lpstr>
      <vt:lpstr>DASH_EXECUTIVE</vt:lpstr>
      <vt:lpstr>DASH_MACRO</vt:lpstr>
      <vt:lpstr>DASH_ABBANK</vt:lpstr>
      <vt:lpstr>DASH_TREASURY</vt:lpstr>
      <vt:lpstr>DASH_FORECAST</vt:lpstr>
      <vt:lpstr>DASH_STRATEGY</vt:lpstr>
      <vt:lpstr>CEO_BRIEF</vt:lpstr>
      <vt:lpstr>FORECAST_HISTORY</vt:lpstr>
      <vt:lpstr>ALERT_LOG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Hoang Quan</cp:lastModifiedBy>
  <dcterms:modified xsi:type="dcterms:W3CDTF">2026-04-24T06:53:48Z</dcterms:modified>
</cp:coreProperties>
</file>